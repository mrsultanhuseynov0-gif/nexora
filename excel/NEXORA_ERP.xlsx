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nexora\excel\"/>
    </mc:Choice>
  </mc:AlternateContent>
  <xr:revisionPtr revIDLastSave="0" documentId="8_{326EE129-8504-42EC-B8CB-0D90CCAE441B}" xr6:coauthVersionLast="47" xr6:coauthVersionMax="47" xr10:uidLastSave="{00000000-0000-0000-0000-000000000000}"/>
  <bookViews>
    <workbookView xWindow="-108" yWindow="-108" windowWidth="23256" windowHeight="12456" xr2:uid="{0A2EFFDC-9719-4E9C-B052-D5532BBA6EF9}"/>
  </bookViews>
  <sheets>
    <sheet name="Dashboard" sheetId="14" r:id="rId1"/>
    <sheet name="Products" sheetId="13" r:id="rId2"/>
    <sheet name="Categories" sheetId="12" r:id="rId3"/>
    <sheet name="Brands" sheetId="11" r:id="rId4"/>
    <sheet name="Inventory" sheetId="10" r:id="rId5"/>
    <sheet name="Purchases" sheetId="9" r:id="rId6"/>
    <sheet name="Sales" sheetId="8" r:id="rId7"/>
    <sheet name="Customers" sheetId="7" r:id="rId8"/>
    <sheet name="Suppliers" sheetId="6" r:id="rId9"/>
    <sheet name="Documents" sheetId="5" r:id="rId10"/>
    <sheet name="Email Center" sheetId="4" r:id="rId11"/>
    <sheet name="Reports" sheetId="3" r:id="rId12"/>
    <sheet name="Settings" sheetId="2" r:id="rId13"/>
    <sheet name="Archive" sheetId="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4" l="1"/>
  <c r="B11" i="14"/>
  <c r="B10" i="14"/>
  <c r="B9" i="14"/>
  <c r="B8" i="14"/>
  <c r="B7" i="14"/>
  <c r="B6" i="14"/>
  <c r="B5" i="14"/>
  <c r="B4" i="14"/>
  <c r="B22" i="3"/>
  <c r="B21" i="3"/>
  <c r="B20" i="3"/>
  <c r="B16" i="3"/>
  <c r="B15" i="3"/>
  <c r="B12" i="3"/>
  <c r="B11" i="3"/>
  <c r="B10" i="3"/>
  <c r="B7" i="3"/>
  <c r="B6" i="3"/>
  <c r="B5" i="3"/>
  <c r="B4" i="3"/>
  <c r="G10" i="4"/>
  <c r="G9" i="4"/>
  <c r="J5" i="4"/>
  <c r="J4" i="4"/>
  <c r="J3" i="4"/>
  <c r="J2" i="4"/>
  <c r="J7" i="8"/>
  <c r="J6" i="8"/>
  <c r="J5" i="8"/>
  <c r="J4" i="8"/>
  <c r="J3" i="8"/>
  <c r="J2" i="8"/>
  <c r="I6" i="9"/>
  <c r="I5" i="9"/>
  <c r="I4" i="9"/>
  <c r="I3" i="9"/>
  <c r="I2" i="9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</calcChain>
</file>

<file path=xl/sharedStrings.xml><?xml version="1.0" encoding="utf-8"?>
<sst xmlns="http://schemas.openxmlformats.org/spreadsheetml/2006/main" count="1008" uniqueCount="611">
  <si>
    <t>NEXORA ERP - PARAMETRLER</t>
  </si>
  <si>
    <t>Acar</t>
  </si>
  <si>
    <t>Deyer</t>
  </si>
  <si>
    <t>Sirket adi</t>
  </si>
  <si>
    <t>NEXORA</t>
  </si>
  <si>
    <t>Valyuta</t>
  </si>
  <si>
    <t>AZN</t>
  </si>
  <si>
    <t>Valyuta simvolu</t>
  </si>
  <si>
    <t>EDV %</t>
  </si>
  <si>
    <t>SKU prefiks</t>
  </si>
  <si>
    <t>NX</t>
  </si>
  <si>
    <t>SKU ayirici</t>
  </si>
  <si>
    <t>-</t>
  </si>
  <si>
    <t>Sened prefiks</t>
  </si>
  <si>
    <t>DOC</t>
  </si>
  <si>
    <t>Satis prefiks</t>
  </si>
  <si>
    <t>SO</t>
  </si>
  <si>
    <t>Alis prefiks</t>
  </si>
  <si>
    <t>PO</t>
  </si>
  <si>
    <t>Email prefiks</t>
  </si>
  <si>
    <t>EM</t>
  </si>
  <si>
    <t>Min stok rengi</t>
  </si>
  <si>
    <t>Qirmizi</t>
  </si>
  <si>
    <t>Anbar esas</t>
  </si>
  <si>
    <t>WH-BAK-01</t>
  </si>
  <si>
    <t>JSON export qovlugu</t>
  </si>
  <si>
    <t>..\data\</t>
  </si>
  <si>
    <t>Son sinxron</t>
  </si>
  <si>
    <t>VBA AutoSKU</t>
  </si>
  <si>
    <t>Aktiv (bax: vba/)</t>
  </si>
  <si>
    <t>Outlook inteqrasiya</t>
  </si>
  <si>
    <t>mailto + VBA COM</t>
  </si>
  <si>
    <t>Web JSON uygunluq</t>
  </si>
  <si>
    <t>Products: id, name, brand, category, price, oldPrice, currency, inStock</t>
  </si>
  <si>
    <t>Categories: id, name, slug</t>
  </si>
  <si>
    <t>Brands: id, name</t>
  </si>
  <si>
    <t>id</t>
  </si>
  <si>
    <t>name</t>
  </si>
  <si>
    <t>slug</t>
  </si>
  <si>
    <t>count</t>
  </si>
  <si>
    <t>icon</t>
  </si>
  <si>
    <t>status</t>
  </si>
  <si>
    <t>electronics</t>
  </si>
  <si>
    <t>Elektronika</t>
  </si>
  <si>
    <t>elektronika</t>
  </si>
  <si>
    <t>smartphone</t>
  </si>
  <si>
    <t>active</t>
  </si>
  <si>
    <t>fashion</t>
  </si>
  <si>
    <t>Moda</t>
  </si>
  <si>
    <t>moda</t>
  </si>
  <si>
    <t>shirt</t>
  </si>
  <si>
    <t>home</t>
  </si>
  <si>
    <t>Ev &amp; Bağça</t>
  </si>
  <si>
    <t>ev-bagca</t>
  </si>
  <si>
    <t>beauty</t>
  </si>
  <si>
    <t>Gözəllik</t>
  </si>
  <si>
    <t>gozellik</t>
  </si>
  <si>
    <t>sparkles</t>
  </si>
  <si>
    <t>sports</t>
  </si>
  <si>
    <t>İdman</t>
  </si>
  <si>
    <t>idman</t>
  </si>
  <si>
    <t>dumbbell</t>
  </si>
  <si>
    <t>kids</t>
  </si>
  <si>
    <t>Uşaq</t>
  </si>
  <si>
    <t>usaq</t>
  </si>
  <si>
    <t>baby</t>
  </si>
  <si>
    <t>auto</t>
  </si>
  <si>
    <t>Avtomobil</t>
  </si>
  <si>
    <t>avtomobil</t>
  </si>
  <si>
    <t>car</t>
  </si>
  <si>
    <t>books</t>
  </si>
  <si>
    <t>Kitab &amp; Hobi</t>
  </si>
  <si>
    <t>kitab-hobi</t>
  </si>
  <si>
    <t>book</t>
  </si>
  <si>
    <t>logo</t>
  </si>
  <si>
    <t>color</t>
  </si>
  <si>
    <t>samsung</t>
  </si>
  <si>
    <t>Samsung</t>
  </si>
  <si>
    <t>S</t>
  </si>
  <si>
    <t>#1428A0</t>
  </si>
  <si>
    <t>apple</t>
  </si>
  <si>
    <t>Apple</t>
  </si>
  <si>
    <t>#000000</t>
  </si>
  <si>
    <t>sony</t>
  </si>
  <si>
    <t>Sony</t>
  </si>
  <si>
    <t>SONY</t>
  </si>
  <si>
    <t>lg</t>
  </si>
  <si>
    <t>LG</t>
  </si>
  <si>
    <t>#A50034</t>
  </si>
  <si>
    <t>nike</t>
  </si>
  <si>
    <t>Nike</t>
  </si>
  <si>
    <t>✓</t>
  </si>
  <si>
    <t>#111111</t>
  </si>
  <si>
    <t>adidas</t>
  </si>
  <si>
    <t>Adidas</t>
  </si>
  <si>
    <t>Adi</t>
  </si>
  <si>
    <t>dyson</t>
  </si>
  <si>
    <t>Dyson</t>
  </si>
  <si>
    <t>DYSON</t>
  </si>
  <si>
    <t>#C4398A</t>
  </si>
  <si>
    <t>philips</t>
  </si>
  <si>
    <t>Philips</t>
  </si>
  <si>
    <t>PHILIPS</t>
  </si>
  <si>
    <t>#0E5FD8</t>
  </si>
  <si>
    <t>bosch</t>
  </si>
  <si>
    <t>Bosch</t>
  </si>
  <si>
    <t>BOSCH</t>
  </si>
  <si>
    <t>#EA0016</t>
  </si>
  <si>
    <t>xiaomi</t>
  </si>
  <si>
    <t>Xiaomi</t>
  </si>
  <si>
    <t>mi</t>
  </si>
  <si>
    <t>#FF6700</t>
  </si>
  <si>
    <t>huawei</t>
  </si>
  <si>
    <t>Huawei</t>
  </si>
  <si>
    <t>HUAWEI</t>
  </si>
  <si>
    <t>#CF0A2C</t>
  </si>
  <si>
    <t>canon</t>
  </si>
  <si>
    <t>Canon</t>
  </si>
  <si>
    <t>#BC0024</t>
  </si>
  <si>
    <t>rayban</t>
  </si>
  <si>
    <t>Ray-Ban</t>
  </si>
  <si>
    <t>RB</t>
  </si>
  <si>
    <t>lego</t>
  </si>
  <si>
    <t>LEGO</t>
  </si>
  <si>
    <t>#E3000B</t>
  </si>
  <si>
    <t>ray-ban</t>
  </si>
  <si>
    <t>sku</t>
  </si>
  <si>
    <t>brand</t>
  </si>
  <si>
    <t>category</t>
  </si>
  <si>
    <t>price</t>
  </si>
  <si>
    <t>oldPrice</t>
  </si>
  <si>
    <t>currency</t>
  </si>
  <si>
    <t>rating</t>
  </si>
  <si>
    <t>reviews</t>
  </si>
  <si>
    <t>badge</t>
  </si>
  <si>
    <t>inStock</t>
  </si>
  <si>
    <t>isNew</t>
  </si>
  <si>
    <t>minStock</t>
  </si>
  <si>
    <t>cost</t>
  </si>
  <si>
    <t>p001</t>
  </si>
  <si>
    <t>ELE-SAMS-0001</t>
  </si>
  <si>
    <t>Samsung Galaxy S24 Ultra 256GB</t>
  </si>
  <si>
    <t>₼</t>
  </si>
  <si>
    <t>Yeni</t>
  </si>
  <si>
    <t>TRUE</t>
  </si>
  <si>
    <t>p002</t>
  </si>
  <si>
    <t>ELE-APPL-0002</t>
  </si>
  <si>
    <t>Apple MacBook Pro 14" M3 Pro</t>
  </si>
  <si>
    <t>p003</t>
  </si>
  <si>
    <t>ELE-SONY-0003</t>
  </si>
  <si>
    <t>Sony WH-1000XM5 Qulaqlıq</t>
  </si>
  <si>
    <t>-25%</t>
  </si>
  <si>
    <t>p004</t>
  </si>
  <si>
    <t>HOM-DYSO-0004</t>
  </si>
  <si>
    <t>Dyson V15 Detect Pəngvor</t>
  </si>
  <si>
    <t>Endirim</t>
  </si>
  <si>
    <t>p005</t>
  </si>
  <si>
    <t>FAS-NIKE-0005</t>
  </si>
  <si>
    <t>Nike Air Max 90 Essential</t>
  </si>
  <si>
    <t>p006</t>
  </si>
  <si>
    <t>ELE-LG-0006</t>
  </si>
  <si>
    <t>LG OLED C4 55" 4K Smart TV</t>
  </si>
  <si>
    <t>Top</t>
  </si>
  <si>
    <t>p007</t>
  </si>
  <si>
    <t>FAS-RAYB-0007</t>
  </si>
  <si>
    <t>Ray-Ban Meta Smart Eynək</t>
  </si>
  <si>
    <t>p008</t>
  </si>
  <si>
    <t>ELE-SONY-0008</t>
  </si>
  <si>
    <t>PlayStation 5 Slim + 2 Oyun</t>
  </si>
  <si>
    <t>Bundle</t>
  </si>
  <si>
    <t>p009</t>
  </si>
  <si>
    <t>HOM-XIAO-0009</t>
  </si>
  <si>
    <t>Xiaomi Robot Vacuum S10+</t>
  </si>
  <si>
    <t>-20%</t>
  </si>
  <si>
    <t>FALSE</t>
  </si>
  <si>
    <t>p010</t>
  </si>
  <si>
    <t>SPO-ADID-0010</t>
  </si>
  <si>
    <t>Adidas Ultraboost 22</t>
  </si>
  <si>
    <t>p011</t>
  </si>
  <si>
    <t>HOM-PHIL-0011</t>
  </si>
  <si>
    <t>Philips Hue Starter Kit</t>
  </si>
  <si>
    <t>p012</t>
  </si>
  <si>
    <t>ELE-CANO-0012</t>
  </si>
  <si>
    <t>Canon EOS R50 Mirrorless</t>
  </si>
  <si>
    <t>p013</t>
  </si>
  <si>
    <t>HOM-BOSC-0013</t>
  </si>
  <si>
    <t>Bosch Serie 6 Qabyuyan</t>
  </si>
  <si>
    <t>p014</t>
  </si>
  <si>
    <t>ELE-HUAW-0014</t>
  </si>
  <si>
    <t>Huawei Watch GT 4</t>
  </si>
  <si>
    <t>-18%</t>
  </si>
  <si>
    <t>p015</t>
  </si>
  <si>
    <t>SPO-NIKE-0015</t>
  </si>
  <si>
    <t>Nike Dri-FIT Training T-Shirt</t>
  </si>
  <si>
    <t>p016</t>
  </si>
  <si>
    <t>KID-LEGO-0016</t>
  </si>
  <si>
    <t>LEGO Technic Bugatti</t>
  </si>
  <si>
    <t>warehouse</t>
  </si>
  <si>
    <t>location</t>
  </si>
  <si>
    <t>qty</t>
  </si>
  <si>
    <t>reorderQty</t>
  </si>
  <si>
    <t>alert</t>
  </si>
  <si>
    <t>A-12</t>
  </si>
  <si>
    <t>ok</t>
  </si>
  <si>
    <t>A-03</t>
  </si>
  <si>
    <t>WH-BAK-02</t>
  </si>
  <si>
    <t>B-08</t>
  </si>
  <si>
    <t>low</t>
  </si>
  <si>
    <t>C-01</t>
  </si>
  <si>
    <t>WH-GAN-01</t>
  </si>
  <si>
    <t>D-04</t>
  </si>
  <si>
    <t>A-20</t>
  </si>
  <si>
    <t>B-02</t>
  </si>
  <si>
    <t>A-15</t>
  </si>
  <si>
    <t>Z-01</t>
  </si>
  <si>
    <t>email</t>
  </si>
  <si>
    <t>phone</t>
  </si>
  <si>
    <t>company</t>
  </si>
  <si>
    <t>city</t>
  </si>
  <si>
    <t>address</t>
  </si>
  <si>
    <t>type</t>
  </si>
  <si>
    <t>c001</t>
  </si>
  <si>
    <t>Reshad Memmedov</t>
  </si>
  <si>
    <t>reshad@example.az</t>
  </si>
  <si>
    <t>RM Tech</t>
  </si>
  <si>
    <t>Baki</t>
  </si>
  <si>
    <t>Nizami 12</t>
  </si>
  <si>
    <t>retail</t>
  </si>
  <si>
    <t>c002</t>
  </si>
  <si>
    <t>Leyla Hesenova</t>
  </si>
  <si>
    <t>leyla@example.az</t>
  </si>
  <si>
    <t>LH Design</t>
  </si>
  <si>
    <t>Gence</t>
  </si>
  <si>
    <t>Ataturk 45</t>
  </si>
  <si>
    <t>wholesale</t>
  </si>
  <si>
    <t>c003</t>
  </si>
  <si>
    <t>Elvin Quliyev</t>
  </si>
  <si>
    <t>elvin@example.az</t>
  </si>
  <si>
    <t>EQ Trade</t>
  </si>
  <si>
    <t>Sumqayit</t>
  </si>
  <si>
    <t>c004</t>
  </si>
  <si>
    <t>Nigar Eliyeva</t>
  </si>
  <si>
    <t>nigar@example.az</t>
  </si>
  <si>
    <t>Nexora B2B</t>
  </si>
  <si>
    <t>Heyder Eliyev 120</t>
  </si>
  <si>
    <t>corporate</t>
  </si>
  <si>
    <t>c005</t>
  </si>
  <si>
    <t>Tural Ismayilov</t>
  </si>
  <si>
    <t>tural@example.az</t>
  </si>
  <si>
    <t>TI Market</t>
  </si>
  <si>
    <t>Mingechevir</t>
  </si>
  <si>
    <t>Merkez 3</t>
  </si>
  <si>
    <t>inactive</t>
  </si>
  <si>
    <t>paymentTerms</t>
  </si>
  <si>
    <t>s001</t>
  </si>
  <si>
    <t>Tech Distrib LLC</t>
  </si>
  <si>
    <t>sales@techdistrib.az</t>
  </si>
  <si>
    <t>Net 30</t>
  </si>
  <si>
    <t>s002</t>
  </si>
  <si>
    <t>Fashion Hub</t>
  </si>
  <si>
    <t>order@fashionhub.az</t>
  </si>
  <si>
    <t>Net 15</t>
  </si>
  <si>
    <t>s003</t>
  </si>
  <si>
    <t>Home Supplies AZ</t>
  </si>
  <si>
    <t>info@homesup.az</t>
  </si>
  <si>
    <t>Net 45</t>
  </si>
  <si>
    <t>s004</t>
  </si>
  <si>
    <t>Global Gadgets</t>
  </si>
  <si>
    <t>baku@globalgadgets.com</t>
  </si>
  <si>
    <t>Prepaid</t>
  </si>
  <si>
    <t>poNo</t>
  </si>
  <si>
    <t>date</t>
  </si>
  <si>
    <t>supplierId</t>
  </si>
  <si>
    <t>supplierName</t>
  </si>
  <si>
    <t>productId</t>
  </si>
  <si>
    <t>unitCost</t>
  </si>
  <si>
    <t>total</t>
  </si>
  <si>
    <t>notes</t>
  </si>
  <si>
    <t>PO-2026-0001</t>
  </si>
  <si>
    <t>received</t>
  </si>
  <si>
    <t>Samsung stok</t>
  </si>
  <si>
    <t>PO-2026-0002</t>
  </si>
  <si>
    <t>Qulaqliq</t>
  </si>
  <si>
    <t>PO-2026-0003</t>
  </si>
  <si>
    <t>ordered</t>
  </si>
  <si>
    <t>Nike partiya</t>
  </si>
  <si>
    <t>PO-2026-0004</t>
  </si>
  <si>
    <t>partial</t>
  </si>
  <si>
    <t>PO-2026-0005</t>
  </si>
  <si>
    <t>PS5</t>
  </si>
  <si>
    <t>soNo</t>
  </si>
  <si>
    <t>customerId</t>
  </si>
  <si>
    <t>customerName</t>
  </si>
  <si>
    <t>unitPrice</t>
  </si>
  <si>
    <t>discount</t>
  </si>
  <si>
    <t>channel</t>
  </si>
  <si>
    <t>SO-2026-0001</t>
  </si>
  <si>
    <t>web</t>
  </si>
  <si>
    <t>paid</t>
  </si>
  <si>
    <t>SO-2026-0002</t>
  </si>
  <si>
    <t>SO-2026-0003</t>
  </si>
  <si>
    <t>b2b</t>
  </si>
  <si>
    <t>SO-2026-0004</t>
  </si>
  <si>
    <t>shipped</t>
  </si>
  <si>
    <t>SO-2026-0005</t>
  </si>
  <si>
    <t>SO-2026-0006</t>
  </si>
  <si>
    <t>pending</t>
  </si>
  <si>
    <t>docNo</t>
  </si>
  <si>
    <t>docType</t>
  </si>
  <si>
    <t>title</t>
  </si>
  <si>
    <t>relatedTo</t>
  </si>
  <si>
    <t>party</t>
  </si>
  <si>
    <t>templateFile</t>
  </si>
  <si>
    <t>archivePath</t>
  </si>
  <si>
    <t>DOC-2026-0001</t>
  </si>
  <si>
    <t>invoice</t>
  </si>
  <si>
    <t>Satis hesab-faktura</t>
  </si>
  <si>
    <t>archived</t>
  </si>
  <si>
    <t>01-hesab-faktura.html</t>
  </si>
  <si>
    <t>Archive</t>
  </si>
  <si>
    <t>Odenilib</t>
  </si>
  <si>
    <t>DOC-2026-0002</t>
  </si>
  <si>
    <t>delivery</t>
  </si>
  <si>
    <t>Catdirilma qebzi</t>
  </si>
  <si>
    <t>03-catdirilma-qebzi.html</t>
  </si>
  <si>
    <t>DOC-2026-0003</t>
  </si>
  <si>
    <t>purchase</t>
  </si>
  <si>
    <t>Alis sifarisi</t>
  </si>
  <si>
    <t>10-alis-sifarisi.html</t>
  </si>
  <si>
    <t>DOC-2026-0004</t>
  </si>
  <si>
    <t>contract</t>
  </si>
  <si>
    <t>B2B muqavile</t>
  </si>
  <si>
    <t>review</t>
  </si>
  <si>
    <t>15-b2b-muqavile.html</t>
  </si>
  <si>
    <t>DOC-2026-0005</t>
  </si>
  <si>
    <t>return</t>
  </si>
  <si>
    <t>Qaytarma akti</t>
  </si>
  <si>
    <t>draft</t>
  </si>
  <si>
    <t>07-qaytarma-akti.html</t>
  </si>
  <si>
    <t>Sened novleri (sablon kataloqu) - 42 sablon</t>
  </si>
  <si>
    <t>code</t>
  </si>
  <si>
    <t>ad</t>
  </si>
  <si>
    <t>prefix</t>
  </si>
  <si>
    <t>Hesab-faktura</t>
  </si>
  <si>
    <t>INV</t>
  </si>
  <si>
    <t>proforma</t>
  </si>
  <si>
    <t>Proforma faktura</t>
  </si>
  <si>
    <t>02-proforma.html</t>
  </si>
  <si>
    <t>PRF</t>
  </si>
  <si>
    <t>DLV</t>
  </si>
  <si>
    <t>packing</t>
  </si>
  <si>
    <t>Qablasdirma siyahisi</t>
  </si>
  <si>
    <t>04-qablasdirma.html</t>
  </si>
  <si>
    <t>PKG</t>
  </si>
  <si>
    <t>quote</t>
  </si>
  <si>
    <t>Qiymet teklifi</t>
  </si>
  <si>
    <t>05-qiymet-teklifi.html</t>
  </si>
  <si>
    <t>QTE</t>
  </si>
  <si>
    <t>order</t>
  </si>
  <si>
    <t>Satis sifarisi</t>
  </si>
  <si>
    <t>06-satis-sifarisi.html</t>
  </si>
  <si>
    <t>ORD</t>
  </si>
  <si>
    <t>RTN</t>
  </si>
  <si>
    <t>credit</t>
  </si>
  <si>
    <t>Kredit notasi</t>
  </si>
  <si>
    <t>08-kredit-nota.html</t>
  </si>
  <si>
    <t>CRN</t>
  </si>
  <si>
    <t>debit</t>
  </si>
  <si>
    <t>Debet notasi</t>
  </si>
  <si>
    <t>09-debet-nota.html</t>
  </si>
  <si>
    <t>DBN</t>
  </si>
  <si>
    <t>grn</t>
  </si>
  <si>
    <t>Mal qebulu</t>
  </si>
  <si>
    <t>11-mal-qebulu.html</t>
  </si>
  <si>
    <t>GRN</t>
  </si>
  <si>
    <t>transfer</t>
  </si>
  <si>
    <t>Anbar kocurme</t>
  </si>
  <si>
    <t>12-anbar-kocurme.html</t>
  </si>
  <si>
    <t>TRF</t>
  </si>
  <si>
    <t>stocktake</t>
  </si>
  <si>
    <t>Inventarizasiya</t>
  </si>
  <si>
    <t>13-inventarizasiya.html</t>
  </si>
  <si>
    <t>STK</t>
  </si>
  <si>
    <t>writeoff</t>
  </si>
  <si>
    <t>Silinme akti</t>
  </si>
  <si>
    <t>14-silinme-akti.html</t>
  </si>
  <si>
    <t>WOF</t>
  </si>
  <si>
    <t>CTR</t>
  </si>
  <si>
    <t>nda</t>
  </si>
  <si>
    <t>Konfidensialliq</t>
  </si>
  <si>
    <t>16-nda.html</t>
  </si>
  <si>
    <t>NDA</t>
  </si>
  <si>
    <t>poa</t>
  </si>
  <si>
    <t>Etibarname</t>
  </si>
  <si>
    <t>17-etibarname.html</t>
  </si>
  <si>
    <t>POA</t>
  </si>
  <si>
    <t>act</t>
  </si>
  <si>
    <t>Is akti</t>
  </si>
  <si>
    <t>18-is-akti.html</t>
  </si>
  <si>
    <t>ACT</t>
  </si>
  <si>
    <t>service</t>
  </si>
  <si>
    <t>Xidmet akti</t>
  </si>
  <si>
    <t>19-xidmet-akti.html</t>
  </si>
  <si>
    <t>SRV</t>
  </si>
  <si>
    <t>warranty</t>
  </si>
  <si>
    <t>Zemanet talonu</t>
  </si>
  <si>
    <t>20-zemanet.html</t>
  </si>
  <si>
    <t>WRN</t>
  </si>
  <si>
    <t>complaint</t>
  </si>
  <si>
    <t>Sikayet blanki</t>
  </si>
  <si>
    <t>21-sikayet.html</t>
  </si>
  <si>
    <t>CMP</t>
  </si>
  <si>
    <t>refund</t>
  </si>
  <si>
    <t>Geri odenis</t>
  </si>
  <si>
    <t>22-geri-odenis.html</t>
  </si>
  <si>
    <t>RFD</t>
  </si>
  <si>
    <t>Qiymet siyahisi</t>
  </si>
  <si>
    <t>23-qiymet-siyahisi.html</t>
  </si>
  <si>
    <t>PRC</t>
  </si>
  <si>
    <t>catalog</t>
  </si>
  <si>
    <t>Katalog vereqi</t>
  </si>
  <si>
    <t>24-katalog.html</t>
  </si>
  <si>
    <t>CAT</t>
  </si>
  <si>
    <t>hrleave</t>
  </si>
  <si>
    <t>Mezuniyyet erizesi</t>
  </si>
  <si>
    <t>25-mezuniyyet.html</t>
  </si>
  <si>
    <t>HR</t>
  </si>
  <si>
    <t>hrtrip</t>
  </si>
  <si>
    <t>Ezamiyyet</t>
  </si>
  <si>
    <t>26-ezamiyyet.html</t>
  </si>
  <si>
    <t>payroll</t>
  </si>
  <si>
    <t>Emekhaqqi cedveli</t>
  </si>
  <si>
    <t>27-emekhaqqi.html</t>
  </si>
  <si>
    <t>PAY</t>
  </si>
  <si>
    <t>memo</t>
  </si>
  <si>
    <t>Daxili memo</t>
  </si>
  <si>
    <t>28-daxili-memo.html</t>
  </si>
  <si>
    <t>MEM</t>
  </si>
  <si>
    <t>meeting</t>
  </si>
  <si>
    <t>Iclas protokolu</t>
  </si>
  <si>
    <t>29-iclas-protokolu.html</t>
  </si>
  <si>
    <t>MTG</t>
  </si>
  <si>
    <t>policy</t>
  </si>
  <si>
    <t>Sirket siyaseti</t>
  </si>
  <si>
    <t>30-siyaset.html</t>
  </si>
  <si>
    <t>POL</t>
  </si>
  <si>
    <t>receipt</t>
  </si>
  <si>
    <t>Kassa qebzi</t>
  </si>
  <si>
    <t>31-kassa-qebzi.html</t>
  </si>
  <si>
    <t>RCP</t>
  </si>
  <si>
    <t>expense</t>
  </si>
  <si>
    <t>Xerc akti</t>
  </si>
  <si>
    <t>32-xerc-akti.html</t>
  </si>
  <si>
    <t>EXP</t>
  </si>
  <si>
    <t>asset</t>
  </si>
  <si>
    <t>Esas vesait</t>
  </si>
  <si>
    <t>33-esas-vesait.html</t>
  </si>
  <si>
    <t>AST</t>
  </si>
  <si>
    <t>vendor</t>
  </si>
  <si>
    <t>Techizatci qiymetlendirme</t>
  </si>
  <si>
    <t>34-techizatci-qiymet.html</t>
  </si>
  <si>
    <t>VND</t>
  </si>
  <si>
    <t>rma</t>
  </si>
  <si>
    <t>RMA forma</t>
  </si>
  <si>
    <t>35-rma.html</t>
  </si>
  <si>
    <t>RMA</t>
  </si>
  <si>
    <t>serial</t>
  </si>
  <si>
    <t>Seriya ucotu</t>
  </si>
  <si>
    <t>36-seriya-ucotu.html</t>
  </si>
  <si>
    <t>SER</t>
  </si>
  <si>
    <t>customs</t>
  </si>
  <si>
    <t>Gomruk beyanname</t>
  </si>
  <si>
    <t>37-gomruk.html</t>
  </si>
  <si>
    <t>CUS</t>
  </si>
  <si>
    <t>transport</t>
  </si>
  <si>
    <t>Dasima senedi</t>
  </si>
  <si>
    <t>38-dasima.html</t>
  </si>
  <si>
    <t>TRN</t>
  </si>
  <si>
    <t>gift</t>
  </si>
  <si>
    <t>Hediye qebzi</t>
  </si>
  <si>
    <t>39-hediyye-qebzi.html</t>
  </si>
  <si>
    <t>GFT</t>
  </si>
  <si>
    <t>newsletter</t>
  </si>
  <si>
    <t>Kampaniya flayer</t>
  </si>
  <si>
    <t>40-kampaniya-flayer.html</t>
  </si>
  <si>
    <t>FLY</t>
  </si>
  <si>
    <t>certificate</t>
  </si>
  <si>
    <t>Keyfiyyet sertifikati</t>
  </si>
  <si>
    <t>41-sertifikat.html</t>
  </si>
  <si>
    <t>CRT</t>
  </si>
  <si>
    <t>handover</t>
  </si>
  <si>
    <t>Tehvil-teslim</t>
  </si>
  <si>
    <t>42-tehvil-teslim.html</t>
  </si>
  <si>
    <t>HND</t>
  </si>
  <si>
    <t>emailNo</t>
  </si>
  <si>
    <t>template</t>
  </si>
  <si>
    <t>toEmail</t>
  </si>
  <si>
    <t>subject</t>
  </si>
  <si>
    <t>created</t>
  </si>
  <si>
    <t>sentAt</t>
  </si>
  <si>
    <t>mailto</t>
  </si>
  <si>
    <t>EM-2026-0001</t>
  </si>
  <si>
    <t>order-confirm</t>
  </si>
  <si>
    <t>NEXORA - Sifaris tesdiqi SO-2026-0001</t>
  </si>
  <si>
    <t>sent</t>
  </si>
  <si>
    <t>EM-2026-0002</t>
  </si>
  <si>
    <t>shipping</t>
  </si>
  <si>
    <t>NEXORA - Sifarisiniz yoldadir</t>
  </si>
  <si>
    <t>EM-2026-0003</t>
  </si>
  <si>
    <t>promo</t>
  </si>
  <si>
    <t>NEXORA - Yay kampaniyasi</t>
  </si>
  <si>
    <t>EM-2026-0004</t>
  </si>
  <si>
    <t>low-stock-internal</t>
  </si>
  <si>
    <t>Anbar komandasi</t>
  </si>
  <si>
    <t>stock@nexora.az</t>
  </si>
  <si>
    <t>Min stok xeberdarligi</t>
  </si>
  <si>
    <t>queued</t>
  </si>
  <si>
    <t>Email sablonlari</t>
  </si>
  <si>
    <t>fayl</t>
  </si>
  <si>
    <t>deyisenler</t>
  </si>
  <si>
    <t>Sifaris tesdiqi</t>
  </si>
  <si>
    <t>email-order-confirm.html</t>
  </si>
  <si>
    <t>{{name}},{{soNo}},{{total}}</t>
  </si>
  <si>
    <t>Catdirilma izleme</t>
  </si>
  <si>
    <t>email-shipping.html</t>
  </si>
  <si>
    <t>{{name}},{{tracking}},{{soNo}}</t>
  </si>
  <si>
    <t>delivered</t>
  </si>
  <si>
    <t>Catdirildi</t>
  </si>
  <si>
    <t>email-delivered.html</t>
  </si>
  <si>
    <t>{{name}},{{soNo}}</t>
  </si>
  <si>
    <t>Kampaniya</t>
  </si>
  <si>
    <t>email-promo.html</t>
  </si>
  <si>
    <t>{{name}},{{promoCode}},{{ends}}</t>
  </si>
  <si>
    <t>welcome</t>
  </si>
  <si>
    <t>Xos geldiniz</t>
  </si>
  <si>
    <t>email-welcome.html</t>
  </si>
  <si>
    <t>{{name}}</t>
  </si>
  <si>
    <t>password-reset</t>
  </si>
  <si>
    <t>Sifre sifirlama</t>
  </si>
  <si>
    <t>email-password-reset.html</t>
  </si>
  <si>
    <t>{{name}},{{resetLink}}</t>
  </si>
  <si>
    <t>abandoned-cart</t>
  </si>
  <si>
    <t>Sebet xatirlatma</t>
  </si>
  <si>
    <t>email-abandoned-cart.html</t>
  </si>
  <si>
    <t>{{name}},{{cartTotal}}</t>
  </si>
  <si>
    <t>review-request</t>
  </si>
  <si>
    <t>Rey sorgusu</t>
  </si>
  <si>
    <t>email-review-request.html</t>
  </si>
  <si>
    <t>{{name}},{{product}}</t>
  </si>
  <si>
    <t>email-refund.html</t>
  </si>
  <si>
    <t>{{name}},{{amount}},{{soNo}}</t>
  </si>
  <si>
    <t>b2b-quote</t>
  </si>
  <si>
    <t>B2B teklif</t>
  </si>
  <si>
    <t>email-b2b-quote.html</t>
  </si>
  <si>
    <t>{{company}},{{quoteNo}}</t>
  </si>
  <si>
    <t>Min stok (daxili)</t>
  </si>
  <si>
    <t>email-low-stock.html</t>
  </si>
  <si>
    <t>{{sku}},{{qty}},{{minStock}}</t>
  </si>
  <si>
    <t>Bulleten</t>
  </si>
  <si>
    <t>email-newsletter.html</t>
  </si>
  <si>
    <t>{{name}},{{month}}</t>
  </si>
  <si>
    <t>Musteri sec (id)</t>
  </si>
  <si>
    <t>Ad</t>
  </si>
  <si>
    <t>Email</t>
  </si>
  <si>
    <t>archiveId</t>
  </si>
  <si>
    <t>source</t>
  </si>
  <si>
    <t>refNo</t>
  </si>
  <si>
    <t>archivedAt</t>
  </si>
  <si>
    <t>path</t>
  </si>
  <si>
    <t>tags</t>
  </si>
  <si>
    <t>ARC-0001</t>
  </si>
  <si>
    <t>Documents</t>
  </si>
  <si>
    <t>Archive/2026/07/</t>
  </si>
  <si>
    <t>invoice,paid</t>
  </si>
  <si>
    <t>ARC-0002</t>
  </si>
  <si>
    <t>Sales</t>
  </si>
  <si>
    <t>Satis baglandi</t>
  </si>
  <si>
    <t>sales</t>
  </si>
  <si>
    <t>ARC-0003</t>
  </si>
  <si>
    <t>Email Center</t>
  </si>
  <si>
    <t>Gonderilmis email</t>
  </si>
  <si>
    <t>Archive/email/</t>
  </si>
  <si>
    <t>NEXORA - HESABATLAR</t>
  </si>
  <si>
    <t>Satis xulasesi</t>
  </si>
  <si>
    <t>Umumi satis meblegi</t>
  </si>
  <si>
    <t>Satis sayi</t>
  </si>
  <si>
    <t>Orta cek</t>
  </si>
  <si>
    <t>Odenilmis satislar</t>
  </si>
  <si>
    <t>Stok xulasesi</t>
  </si>
  <si>
    <t>Umumi miqdar</t>
  </si>
  <si>
    <t>Mehsul sayi</t>
  </si>
  <si>
    <t>Alis xulasesi</t>
  </si>
  <si>
    <t>Alis cemi</t>
  </si>
  <si>
    <t>Aciq PO</t>
  </si>
  <si>
    <t>Kateqoriya uzre katalog qiymet cemi</t>
  </si>
  <si>
    <t>catalogPriceSum</t>
  </si>
  <si>
    <t>Qeyd: Tam PivotTable uchun Sales+Products -&gt; Insert -&gt; PivotTable (bax excel/README.md).</t>
  </si>
  <si>
    <t>Excel ERP Dashboard</t>
  </si>
  <si>
    <t>Gosterici</t>
  </si>
  <si>
    <t>Umumi satis (AZN)</t>
  </si>
  <si>
    <t>Orta cek (AZN)</t>
  </si>
  <si>
    <t>Stok cemi</t>
  </si>
  <si>
    <t>Min stok alert</t>
  </si>
  <si>
    <t>Musteri sayi</t>
  </si>
  <si>
    <t>Techizatci</t>
  </si>
  <si>
    <t>Aciq senedler</t>
  </si>
  <si>
    <t>Gozleyen email</t>
  </si>
  <si>
    <t>Min stok siyahisi</t>
  </si>
  <si>
    <t>Tez kecidler: Products | Inventory | Sales | Purchases | Documents | Email Center | Reports</t>
  </si>
  <si>
    <t>JSON sinxron: Products/Categories/Brands saheleri data/*.json ile eynidir.</t>
  </si>
  <si>
    <t>VBA: Auto SKU, sened nomreleme, Outlook - excel/vba/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</si>
</sst>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sz val="18"/>
      <color rgb="FF1111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22" fontId="0" fillId="0" borderId="0" xfId="0" applyNumberFormat="1"/>
    <xf numFmtId="49" fontId="0" fillId="0" borderId="0" xfId="0" applyNumberFormat="1"/>
    <xf numFmtId="49" fontId="3" fillId="2" borderId="0" xfId="0" applyNumberFormat="1" applyFont="1" applyFill="1" applyAlignment="1">
      <alignment horizontal="center" vertical="center"/>
    </xf>
    <xf numFmtId="15" fontId="0" fillId="0" borderId="0" xfId="0" applyNumberFormat="1"/>
    <xf numFmtId="14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3" borderId="0" xfId="0" applyFill="1"/>
  </cellXfs>
  <cellStyles count="2">
    <cellStyle name="Hyperlink" xfId="1" builtinId="8"/>
    <cellStyle name="Normal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numFmt numFmtId="30" formatCode="@"/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numFmt numFmtId="30" formatCode="@"/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1111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2FECCA-8D56-4E67-B31E-CCEB5CB3135D}" name="tblProducts" displayName="tblProducts" ref="A1:P17" totalsRowShown="0" headerRowDxfId="21">
  <autoFilter ref="A1:P17" xr:uid="{D72FECCA-8D56-4E67-B31E-CCEB5CB3135D}"/>
  <tableColumns count="16">
    <tableColumn id="1" xr3:uid="{84585734-0CC7-49D3-9CB5-4AB47FF03BD9}" name="id" dataDxfId="31"/>
    <tableColumn id="2" xr3:uid="{DDBA13FF-8593-49FD-BC91-993CA3BDDA10}" name="sku" dataDxfId="30"/>
    <tableColumn id="3" xr3:uid="{87844F82-D18B-4F15-B5BF-BDB50FBD2FC5}" name="name" dataDxfId="29"/>
    <tableColumn id="4" xr3:uid="{C9630AFE-0BE3-4AE2-9D7F-7E92007987EA}" name="brand" dataDxfId="28"/>
    <tableColumn id="5" xr3:uid="{D6314257-D629-4E03-AF62-014DF91B943E}" name="category" dataDxfId="27"/>
    <tableColumn id="6" xr3:uid="{8C2AF865-DDC2-46F0-8A20-91402FE50825}" name="price"/>
    <tableColumn id="7" xr3:uid="{368EFD04-4844-428A-AAF1-7DB8C9C10C4C}" name="oldPrice"/>
    <tableColumn id="8" xr3:uid="{766AAE5F-98F2-45C9-A09A-15751D57FAA2}" name="currency" dataDxfId="26"/>
    <tableColumn id="9" xr3:uid="{5C009B8B-D7FB-46C3-944E-F2E8F201B611}" name="rating"/>
    <tableColumn id="10" xr3:uid="{E9A88E64-5DA3-499B-ADE2-89D1CC729097}" name="reviews"/>
    <tableColumn id="11" xr3:uid="{87EC2E3C-6C93-4C25-8A93-56B8A4BE58F9}" name="badge" dataDxfId="25"/>
    <tableColumn id="12" xr3:uid="{C214BD8E-5AC2-40FE-A9E8-8C891688367C}" name="inStock" dataDxfId="24"/>
    <tableColumn id="13" xr3:uid="{05D43966-E7FB-42CB-9033-4B08D3EF3770}" name="isNew" dataDxfId="23"/>
    <tableColumn id="14" xr3:uid="{C7B9EA19-FDEB-4C00-98C3-FB23CC8CC628}" name="minStock"/>
    <tableColumn id="15" xr3:uid="{8F8C098C-C5BD-4603-AFFB-941E08CD8CA5}" name="cost"/>
    <tableColumn id="16" xr3:uid="{820B16FF-ADCE-4ED4-8517-546752B0017A}" name="status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3CB0E-B2FA-4DC2-AA28-DCF8FB407967}" name="tblCategories" displayName="tblCategories" ref="A1:F9" totalsRowShown="0" headerRowDxfId="33">
  <autoFilter ref="A1:F9" xr:uid="{8CB3CB0E-B2FA-4DC2-AA28-DCF8FB407967}"/>
  <tableColumns count="6">
    <tableColumn id="1" xr3:uid="{9CD5F225-C08C-49CA-B93A-8B4985BD102A}" name="id"/>
    <tableColumn id="2" xr3:uid="{23DC9E18-06CF-4F92-81CE-8C9635E85D3B}" name="name"/>
    <tableColumn id="3" xr3:uid="{B6FADDB3-874E-4EF8-A29A-7348DC0EB606}" name="slug"/>
    <tableColumn id="4" xr3:uid="{3902E836-8E85-421A-B1E5-FCAC4D9B9B2D}" name="count"/>
    <tableColumn id="5" xr3:uid="{214BEF6D-0B82-4DFB-B72C-EF3F75C5410A}" name="icon"/>
    <tableColumn id="6" xr3:uid="{744D5948-7C0D-4E94-85C4-355C6249EA25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B0A4B-52C3-49D9-BE31-F18ACD9E66CE}" name="tblBrands" displayName="tblBrands" ref="A1:E16" totalsRowShown="0" headerRowDxfId="32">
  <autoFilter ref="A1:E16" xr:uid="{E7CB0A4B-52C3-49D9-BE31-F18ACD9E66CE}"/>
  <tableColumns count="5">
    <tableColumn id="1" xr3:uid="{59830D06-3B39-4D7D-B8AE-907FE2C8CB43}" name="id"/>
    <tableColumn id="2" xr3:uid="{04F63779-F4B0-436B-B364-56D3F0497A19}" name="name"/>
    <tableColumn id="3" xr3:uid="{069BB1E5-25D8-4CDA-8B3A-22D6E6AF6CEB}" name="logo"/>
    <tableColumn id="4" xr3:uid="{25B61391-C453-4511-B338-B4AC32B936E4}" name="color"/>
    <tableColumn id="5" xr3:uid="{D2A9514A-52BF-4DE7-A1FF-288AE6411341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9ADB57-7694-4527-B809-E412B61560E2}" name="tblInventory" displayName="tblInventory" ref="A1:J17" totalsRowShown="0" headerRowDxfId="14">
  <autoFilter ref="A1:J17" xr:uid="{DD9ADB57-7694-4527-B809-E412B61560E2}"/>
  <tableColumns count="10">
    <tableColumn id="1" xr3:uid="{6F52F201-72FD-466E-B8BA-444D3D526634}" name="id" dataDxfId="20"/>
    <tableColumn id="2" xr3:uid="{A649F6C6-47A8-483F-A44B-8618247D64D6}" name="sku" dataDxfId="19"/>
    <tableColumn id="3" xr3:uid="{91D3E770-E718-485A-B988-F83844022E88}" name="name" dataDxfId="18"/>
    <tableColumn id="4" xr3:uid="{B261ADD8-2C31-483B-8198-62ACA12BD516}" name="warehouse" dataDxfId="17"/>
    <tableColumn id="5" xr3:uid="{1B00C7E0-2A56-4B9E-B419-A6794DCC3844}" name="location" dataDxfId="16"/>
    <tableColumn id="6" xr3:uid="{E6AB7133-C8D5-442C-AD6E-77962F1190FA}" name="qty"/>
    <tableColumn id="7" xr3:uid="{EBF263E1-0877-4881-8449-80AAEA8D8242}" name="minStock"/>
    <tableColumn id="8" xr3:uid="{911AAFCB-6242-41F5-8E84-50E0A85214CC}" name="reorderQty"/>
    <tableColumn id="9" xr3:uid="{8F1EE293-E50B-4570-A7C3-781A153511E9}" name="status" dataDxfId="15"/>
    <tableColumn id="10" xr3:uid="{FD94A18C-B62C-49DF-928A-075F0F46AEFA}" name="alert">
      <calculatedColumnFormula>IF(F2&lt;=G2,"MIN STOK","OK")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964CFD-569E-44E7-9BC8-556BDF95BAF6}" name="tblPurchases" displayName="tblPurchases" ref="A1:K6" totalsRowShown="0" headerRowDxfId="8">
  <autoFilter ref="A1:K6" xr:uid="{78964CFD-569E-44E7-9BC8-556BDF95BAF6}"/>
  <tableColumns count="11">
    <tableColumn id="1" xr3:uid="{9AA672A5-C15C-48D7-BF4C-41915832FD24}" name="poNo"/>
    <tableColumn id="2" xr3:uid="{1BF1508B-42D4-43A1-AF94-B892BA4D57BF}" name="date" dataDxfId="9"/>
    <tableColumn id="3" xr3:uid="{06DA00A0-37D7-4700-B25B-C7EE8F604EDC}" name="supplierId"/>
    <tableColumn id="4" xr3:uid="{61C72DCF-9C5E-4B10-A20E-A4C990D12740}" name="supplierName"/>
    <tableColumn id="5" xr3:uid="{1FF94E58-103A-4EEF-9EA7-42BDFDA87D33}" name="productId"/>
    <tableColumn id="6" xr3:uid="{27B75960-A81A-4A07-9A21-F80113B3B511}" name="sku"/>
    <tableColumn id="7" xr3:uid="{EA47D279-C48A-4D5E-86ED-7ADC37F0D4D8}" name="qty"/>
    <tableColumn id="8" xr3:uid="{5F38B642-D246-44C8-8E88-2AF5C354EDB1}" name="unitCost"/>
    <tableColumn id="9" xr3:uid="{E06BF94F-E73F-4D03-B464-87E38F1033AB}" name="total">
      <calculatedColumnFormula>G2*H2</calculatedColumnFormula>
    </tableColumn>
    <tableColumn id="10" xr3:uid="{590B5AD9-C776-4B43-B739-3B957C212201}" name="status"/>
    <tableColumn id="11" xr3:uid="{1B9FF7F9-3C52-4FC5-A504-B1CE587ED8B7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352E39-F7AF-41B9-8593-F9B7E4678E6C}" name="tblSales" displayName="tblSales" ref="A1:L7" totalsRowShown="0" headerRowDxfId="6">
  <autoFilter ref="A1:L7" xr:uid="{59352E39-F7AF-41B9-8593-F9B7E4678E6C}"/>
  <tableColumns count="12">
    <tableColumn id="1" xr3:uid="{A1CA3195-53AD-4F12-B1FF-F7A8BFB42D73}" name="soNo"/>
    <tableColumn id="2" xr3:uid="{BD938067-6CB4-4458-B5D6-DDB2247CCAB5}" name="date" dataDxfId="7"/>
    <tableColumn id="3" xr3:uid="{C21EAC8B-D727-44A7-92C3-AA32BD9DAB06}" name="customerId"/>
    <tableColumn id="4" xr3:uid="{0E85EBC0-869D-4C89-8DBC-1D07B711CB0A}" name="customerName"/>
    <tableColumn id="5" xr3:uid="{C3649541-310D-4B77-A3D9-F3AA96D989D3}" name="productId"/>
    <tableColumn id="6" xr3:uid="{C15DD2D7-2B2A-429B-B8F5-D63CF49B1BB4}" name="sku"/>
    <tableColumn id="7" xr3:uid="{0225A699-411B-4D76-B707-03EACF3ED45A}" name="qty"/>
    <tableColumn id="8" xr3:uid="{C51A22C5-28A6-4E2F-930A-50A465E04996}" name="unitPrice"/>
    <tableColumn id="9" xr3:uid="{BDB34BBC-5A52-476E-904F-847C1394CF01}" name="discount"/>
    <tableColumn id="10" xr3:uid="{67239CAB-3EC0-440E-940E-22AF970EB68D}" name="total">
      <calculatedColumnFormula>G2*H2-I2</calculatedColumnFormula>
    </tableColumn>
    <tableColumn id="11" xr3:uid="{6190638F-600F-45EE-8CA4-42666C8A1EF5}" name="channel"/>
    <tableColumn id="12" xr3:uid="{2220CEAD-9FEB-48AD-A129-8F5429807985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5402C0-0621-480F-8AF1-8CB449769EFA}" name="tblCustomers" displayName="tblCustomers" ref="A1:I6" totalsRowShown="0" headerRowDxfId="11">
  <autoFilter ref="A1:I6" xr:uid="{A65402C0-0621-480F-8AF1-8CB449769EFA}"/>
  <tableColumns count="9">
    <tableColumn id="1" xr3:uid="{7892E442-EDCF-4FDF-A50D-4E66C96021B0}" name="id"/>
    <tableColumn id="2" xr3:uid="{8D6E2F53-D496-444D-8042-669781FB6374}" name="name"/>
    <tableColumn id="3" xr3:uid="{B874AB77-5F38-4251-B169-71439B755370}" name="email"/>
    <tableColumn id="4" xr3:uid="{31558217-2AB6-4C62-A6A3-0B03ABDBF6F1}" name="phone"/>
    <tableColumn id="5" xr3:uid="{B00D30F7-9669-42DE-BB7C-2A07B0853E78}" name="company"/>
    <tableColumn id="6" xr3:uid="{F39FB488-B262-4EF3-96E8-00BF242E3ECB}" name="city"/>
    <tableColumn id="7" xr3:uid="{1B5684F7-9113-4E63-8880-1F2D7BE75EC3}" name="address"/>
    <tableColumn id="8" xr3:uid="{E08DEAF9-AEE9-4B5A-A629-6838EA950CF2}" name="type"/>
    <tableColumn id="9" xr3:uid="{54CE668D-BFEE-4337-93E4-A219CDD78F68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376270-AA55-4803-96FF-12D709EEB3DC}" name="tblSuppliers" displayName="tblSuppliers" ref="A1:H5" totalsRowShown="0" headerRowDxfId="10">
  <autoFilter ref="A1:H5" xr:uid="{53376270-AA55-4803-96FF-12D709EEB3DC}"/>
  <tableColumns count="8">
    <tableColumn id="1" xr3:uid="{1B346502-B00D-448D-81C7-2EF24610B659}" name="id"/>
    <tableColumn id="2" xr3:uid="{42E07C23-4CE6-440A-BC34-F0FF0CE0F161}" name="name"/>
    <tableColumn id="3" xr3:uid="{4E1E5C76-F159-4E7A-BE42-98602C0637F3}" name="email"/>
    <tableColumn id="4" xr3:uid="{59AB4F75-03DC-4393-BFBD-EF7EABAF0748}" name="phone"/>
    <tableColumn id="5" xr3:uid="{F296C9DA-25B3-408D-84F6-BC9B07A8273C}" name="city"/>
    <tableColumn id="6" xr3:uid="{B3B04BB1-CDFD-4625-A0A6-59BC3A580E94}" name="category"/>
    <tableColumn id="7" xr3:uid="{71B04FDE-B7C8-4792-B8C3-53987BAB31BE}" name="paymentTerms"/>
    <tableColumn id="8" xr3:uid="{9E190B1B-0D85-4641-A514-3756E3423D91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BC0902-6E3F-4C96-BCD5-9369A1BB3675}" name="tblDocuments" displayName="tblDocuments" ref="A1:J6" totalsRowShown="0" headerRowDxfId="4">
  <autoFilter ref="A1:J6" xr:uid="{D0BC0902-6E3F-4C96-BCD5-9369A1BB3675}"/>
  <tableColumns count="10">
    <tableColumn id="1" xr3:uid="{BF4ADC4A-75A4-44B3-9913-BB97E8E43C27}" name="docNo"/>
    <tableColumn id="2" xr3:uid="{0EAA7F63-3D86-4294-AEF3-4B72C95684A3}" name="docType"/>
    <tableColumn id="3" xr3:uid="{57401DEB-931C-4A57-B59D-0BCBACE30AB4}" name="title"/>
    <tableColumn id="4" xr3:uid="{AF64A0C4-A20C-404D-8DE5-9BE1F8A5E398}" name="relatedTo"/>
    <tableColumn id="5" xr3:uid="{DAA105DC-37F5-4448-8C3A-BDA68F5D4614}" name="party"/>
    <tableColumn id="6" xr3:uid="{50A1E7BB-6535-434B-B3CA-67D0284D3306}" name="date" dataDxfId="5"/>
    <tableColumn id="7" xr3:uid="{4280BACC-C442-4A21-A8C3-EABC4DD918FF}" name="status"/>
    <tableColumn id="8" xr3:uid="{3E704664-92D2-403E-B530-39B100D8D24D}" name="templateFile"/>
    <tableColumn id="9" xr3:uid="{E304014E-DD80-400C-9111-F3B8BC0A30B6}" name="archivePath"/>
    <tableColumn id="10" xr3:uid="{C3053FE6-C18E-4253-BA9E-B75B0A2BB30B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7E884B-698C-4A44-8A4A-E30D84408FD3}" name="tblEmails" displayName="tblEmails" ref="A1:J5" totalsRowShown="0" headerRowDxfId="2">
  <autoFilter ref="A1:J5" xr:uid="{5C7E884B-698C-4A44-8A4A-E30D84408FD3}"/>
  <tableColumns count="10">
    <tableColumn id="1" xr3:uid="{42E595F1-47C0-4783-BFD4-0CEFBD7F7904}" name="emailNo"/>
    <tableColumn id="2" xr3:uid="{746BE1C0-8DDE-4B98-966B-2B2C0F6C1831}" name="template"/>
    <tableColumn id="3" xr3:uid="{E6AA4EEE-5CB2-4BA2-8271-0BBA08C83905}" name="customerId"/>
    <tableColumn id="4" xr3:uid="{FAA104FD-E406-4242-A6E2-A496FD768499}" name="customerName"/>
    <tableColumn id="5" xr3:uid="{E3388865-25BB-4E5E-9C5E-EA44C78E55F0}" name="toEmail"/>
    <tableColumn id="6" xr3:uid="{5FC47E5C-4C7E-4477-9C84-7CFAA0DAB1BE}" name="subject"/>
    <tableColumn id="7" xr3:uid="{CF9BF047-2ABC-48E2-8EAD-794AAE4BF25B}" name="status"/>
    <tableColumn id="8" xr3:uid="{C67C47A8-42AE-48DA-B3A5-609C384F4B04}" name="created" dataDxfId="3"/>
    <tableColumn id="9" xr3:uid="{303B4B92-D7C3-43B8-A5E2-B88AF44A65EC}" name="sentAt"/>
    <tableColumn id="10" xr3:uid="{21F71B8F-239D-4CA0-B709-0F4E48904BB5}" name="mailto" dataCellStyle="Hyperlink">
      <calculatedColumnFormula>HYPERLINK("mailto:"&amp;E2&amp;"?subject="&amp;F2,"mailto ac")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733C81-6DE3-4A5E-BB1A-08F0AAE3B0DA}" name="tblArchive" displayName="tblArchive" ref="A1:G4" totalsRowShown="0" headerRowDxfId="0">
  <autoFilter ref="A1:G4" xr:uid="{6D733C81-6DE3-4A5E-BB1A-08F0AAE3B0DA}"/>
  <tableColumns count="7">
    <tableColumn id="1" xr3:uid="{63EC52B9-B622-47D0-848E-C43236D6AC76}" name="archiveId"/>
    <tableColumn id="2" xr3:uid="{16C1A514-C11C-44D0-AF3F-44568D589405}" name="source"/>
    <tableColumn id="3" xr3:uid="{2569B90B-F2EF-4722-88CE-C30C48F31CEA}" name="refNo"/>
    <tableColumn id="4" xr3:uid="{FB8BCB92-7367-4E33-B915-8ECD751EB4BD}" name="title"/>
    <tableColumn id="5" xr3:uid="{CC1E8DB9-FA3C-4613-811D-96D5A91253B5}" name="archivedAt" dataDxfId="1"/>
    <tableColumn id="6" xr3:uid="{E74F3F02-C9FB-43E2-B148-3BC8BD165AB8}" name="path"/>
    <tableColumn id="7" xr3:uid="{118AD73C-EDD0-40A4-A887-BEF9AE22F876}" name="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EEFB-900D-4A04-8911-015BD47C30A9}">
  <dimension ref="A1:G16"/>
  <sheetViews>
    <sheetView tabSelected="1" workbookViewId="0"/>
  </sheetViews>
  <sheetFormatPr defaultRowHeight="14.4" x14ac:dyDescent="0.3"/>
  <cols>
    <col min="1" max="1" width="75.44140625" bestFit="1" customWidth="1"/>
    <col min="2" max="2" width="30" bestFit="1" customWidth="1"/>
    <col min="4" max="4" width="14.6640625" bestFit="1" customWidth="1"/>
    <col min="5" max="5" width="23.5546875" bestFit="1" customWidth="1"/>
    <col min="6" max="6" width="3.6640625" bestFit="1" customWidth="1"/>
    <col min="7" max="7" width="9" bestFit="1" customWidth="1"/>
  </cols>
  <sheetData>
    <row r="1" spans="1:7" ht="36.6" x14ac:dyDescent="0.7">
      <c r="A1" s="11" t="s">
        <v>4</v>
      </c>
      <c r="B1" s="12" t="s">
        <v>597</v>
      </c>
    </row>
    <row r="3" spans="1:7" x14ac:dyDescent="0.3">
      <c r="A3" s="3" t="s">
        <v>598</v>
      </c>
      <c r="B3" s="3" t="s">
        <v>2</v>
      </c>
      <c r="D3" s="2" t="s">
        <v>607</v>
      </c>
    </row>
    <row r="4" spans="1:7" x14ac:dyDescent="0.3">
      <c r="A4" t="s">
        <v>599</v>
      </c>
      <c r="B4">
        <f>Reports!B4</f>
        <v>7061</v>
      </c>
      <c r="D4" s="3" t="s">
        <v>126</v>
      </c>
      <c r="E4" s="3" t="s">
        <v>37</v>
      </c>
      <c r="F4" s="3" t="s">
        <v>199</v>
      </c>
      <c r="G4" s="3" t="s">
        <v>137</v>
      </c>
    </row>
    <row r="5" spans="1:7" x14ac:dyDescent="0.3">
      <c r="A5" t="s">
        <v>585</v>
      </c>
      <c r="B5">
        <f>Reports!B5</f>
        <v>6</v>
      </c>
      <c r="D5" s="13" t="s">
        <v>149</v>
      </c>
      <c r="E5" s="13" t="s">
        <v>150</v>
      </c>
      <c r="F5" s="13">
        <v>2</v>
      </c>
      <c r="G5" s="13">
        <v>5</v>
      </c>
    </row>
    <row r="6" spans="1:7" x14ac:dyDescent="0.3">
      <c r="A6" t="s">
        <v>600</v>
      </c>
      <c r="B6">
        <f>Reports!B6</f>
        <v>1176.8333333333333</v>
      </c>
      <c r="D6" s="13" t="s">
        <v>164</v>
      </c>
      <c r="E6" s="13" t="s">
        <v>165</v>
      </c>
      <c r="F6" s="13">
        <v>1</v>
      </c>
      <c r="G6" s="13">
        <v>3</v>
      </c>
    </row>
    <row r="7" spans="1:7" x14ac:dyDescent="0.3">
      <c r="A7" t="s">
        <v>601</v>
      </c>
      <c r="B7" s="5">
        <f>Reports!B10</f>
        <v>185</v>
      </c>
    </row>
    <row r="8" spans="1:7" x14ac:dyDescent="0.3">
      <c r="A8" t="s">
        <v>602</v>
      </c>
      <c r="B8">
        <f>Reports!B11</f>
        <v>2</v>
      </c>
    </row>
    <row r="9" spans="1:7" x14ac:dyDescent="0.3">
      <c r="A9" t="s">
        <v>603</v>
      </c>
      <c r="B9">
        <f>COUNTA(Customers!A:A)-1</f>
        <v>5</v>
      </c>
    </row>
    <row r="10" spans="1:7" x14ac:dyDescent="0.3">
      <c r="A10" t="s">
        <v>604</v>
      </c>
      <c r="B10">
        <f>COUNTA(Suppliers!A:A)-1</f>
        <v>4</v>
      </c>
    </row>
    <row r="11" spans="1:7" x14ac:dyDescent="0.3">
      <c r="A11" t="s">
        <v>605</v>
      </c>
      <c r="B11">
        <f>COUNTIF(Documents!G:G,"active")+COUNTIF(Documents!G:G,"draft")+COUNTIF(Documents!G:G,"review")</f>
        <v>4</v>
      </c>
    </row>
    <row r="12" spans="1:7" x14ac:dyDescent="0.3">
      <c r="A12" t="s">
        <v>606</v>
      </c>
      <c r="B12">
        <f>COUNTIF('Email Center'!G:G,"draft")+COUNTIF('Email Center'!G:G,"queued")</f>
        <v>2</v>
      </c>
    </row>
    <row r="14" spans="1:7" x14ac:dyDescent="0.3">
      <c r="A14" t="s">
        <v>608</v>
      </c>
    </row>
    <row r="15" spans="1:7" x14ac:dyDescent="0.3">
      <c r="A15" t="s">
        <v>609</v>
      </c>
    </row>
    <row r="16" spans="1:7" x14ac:dyDescent="0.3">
      <c r="A16" t="s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16AD-E06F-4801-BDE1-A05B34B038AE}">
  <dimension ref="A1:P17"/>
  <sheetViews>
    <sheetView workbookViewId="0"/>
  </sheetViews>
  <sheetFormatPr defaultRowHeight="14.4" x14ac:dyDescent="0.3"/>
  <cols>
    <col min="1" max="1" width="7.109375" bestFit="1" customWidth="1"/>
    <col min="2" max="2" width="15.21875" bestFit="1" customWidth="1"/>
    <col min="3" max="3" width="27.77734375" bestFit="1" customWidth="1"/>
    <col min="4" max="4" width="10.33203125" bestFit="1" customWidth="1"/>
    <col min="5" max="5" width="12.5546875" bestFit="1" customWidth="1"/>
    <col min="6" max="6" width="9.77734375" bestFit="1" customWidth="1"/>
    <col min="7" max="7" width="12.44140625" bestFit="1" customWidth="1"/>
    <col min="8" max="8" width="12.6640625" bestFit="1" customWidth="1"/>
    <col min="9" max="9" width="10.21875" bestFit="1" customWidth="1"/>
    <col min="10" max="10" width="11.77734375" bestFit="1" customWidth="1"/>
    <col min="11" max="11" width="10.5546875" bestFit="1" customWidth="1"/>
    <col min="12" max="12" width="11.77734375" bestFit="1" customWidth="1"/>
    <col min="13" max="13" width="10.5546875" bestFit="1" customWidth="1"/>
    <col min="14" max="14" width="13.44140625" bestFit="1" customWidth="1"/>
    <col min="15" max="15" width="9" bestFit="1" customWidth="1"/>
    <col min="16" max="16" width="10.5546875" bestFit="1" customWidth="1"/>
  </cols>
  <sheetData>
    <row r="1" spans="1:16" x14ac:dyDescent="0.3">
      <c r="A1" s="6" t="s">
        <v>36</v>
      </c>
      <c r="B1" s="6" t="s">
        <v>126</v>
      </c>
      <c r="C1" s="6" t="s">
        <v>37</v>
      </c>
      <c r="D1" s="6" t="s">
        <v>127</v>
      </c>
      <c r="E1" s="6" t="s">
        <v>128</v>
      </c>
      <c r="F1" s="6" t="s">
        <v>129</v>
      </c>
      <c r="G1" s="6" t="s">
        <v>130</v>
      </c>
      <c r="H1" s="6" t="s">
        <v>131</v>
      </c>
      <c r="I1" s="6" t="s">
        <v>132</v>
      </c>
      <c r="J1" s="6" t="s">
        <v>133</v>
      </c>
      <c r="K1" s="6" t="s">
        <v>134</v>
      </c>
      <c r="L1" s="6" t="s">
        <v>135</v>
      </c>
      <c r="M1" s="6" t="s">
        <v>136</v>
      </c>
      <c r="N1" s="6" t="s">
        <v>137</v>
      </c>
      <c r="O1" s="6" t="s">
        <v>138</v>
      </c>
      <c r="P1" s="6" t="s">
        <v>41</v>
      </c>
    </row>
    <row r="2" spans="1:16" x14ac:dyDescent="0.3">
      <c r="A2" s="5" t="s">
        <v>139</v>
      </c>
      <c r="B2" s="5" t="s">
        <v>140</v>
      </c>
      <c r="C2" s="5" t="s">
        <v>141</v>
      </c>
      <c r="D2" s="5" t="s">
        <v>77</v>
      </c>
      <c r="E2" s="5" t="s">
        <v>42</v>
      </c>
      <c r="F2">
        <v>1899</v>
      </c>
      <c r="G2">
        <v>2199</v>
      </c>
      <c r="H2" s="5" t="s">
        <v>142</v>
      </c>
      <c r="I2">
        <v>4.8</v>
      </c>
      <c r="J2">
        <v>124</v>
      </c>
      <c r="K2" s="5" t="s">
        <v>143</v>
      </c>
      <c r="L2" s="5" t="s">
        <v>144</v>
      </c>
      <c r="M2" s="5" t="s">
        <v>144</v>
      </c>
      <c r="N2">
        <v>5</v>
      </c>
      <c r="O2">
        <v>1367.28</v>
      </c>
      <c r="P2" s="5" t="s">
        <v>46</v>
      </c>
    </row>
    <row r="3" spans="1:16" x14ac:dyDescent="0.3">
      <c r="A3" s="5" t="s">
        <v>145</v>
      </c>
      <c r="B3" s="5" t="s">
        <v>146</v>
      </c>
      <c r="C3" s="5" t="s">
        <v>147</v>
      </c>
      <c r="D3" s="5" t="s">
        <v>81</v>
      </c>
      <c r="E3" s="5" t="s">
        <v>42</v>
      </c>
      <c r="F3">
        <v>3299</v>
      </c>
      <c r="H3" s="5" t="s">
        <v>142</v>
      </c>
      <c r="I3">
        <v>4.9000000000000004</v>
      </c>
      <c r="J3">
        <v>89</v>
      </c>
      <c r="L3" s="5" t="s">
        <v>144</v>
      </c>
      <c r="M3" s="5" t="s">
        <v>144</v>
      </c>
      <c r="N3">
        <v>3</v>
      </c>
      <c r="O3">
        <v>2375.2800000000002</v>
      </c>
      <c r="P3" s="5" t="s">
        <v>46</v>
      </c>
    </row>
    <row r="4" spans="1:16" x14ac:dyDescent="0.3">
      <c r="A4" s="5" t="s">
        <v>148</v>
      </c>
      <c r="B4" s="5" t="s">
        <v>149</v>
      </c>
      <c r="C4" s="5" t="s">
        <v>150</v>
      </c>
      <c r="D4" s="5" t="s">
        <v>84</v>
      </c>
      <c r="E4" s="5" t="s">
        <v>42</v>
      </c>
      <c r="F4">
        <v>449</v>
      </c>
      <c r="G4">
        <v>599</v>
      </c>
      <c r="H4" s="5" t="s">
        <v>142</v>
      </c>
      <c r="I4">
        <v>4.7</v>
      </c>
      <c r="J4">
        <v>256</v>
      </c>
      <c r="K4" s="5" t="s">
        <v>151</v>
      </c>
      <c r="L4" s="5" t="s">
        <v>144</v>
      </c>
      <c r="M4" s="5" t="s">
        <v>144</v>
      </c>
      <c r="N4">
        <v>5</v>
      </c>
      <c r="O4">
        <v>323.27999999999997</v>
      </c>
      <c r="P4" s="5" t="s">
        <v>46</v>
      </c>
    </row>
    <row r="5" spans="1:16" x14ac:dyDescent="0.3">
      <c r="A5" s="5" t="s">
        <v>152</v>
      </c>
      <c r="B5" s="5" t="s">
        <v>153</v>
      </c>
      <c r="C5" s="5" t="s">
        <v>154</v>
      </c>
      <c r="D5" s="5" t="s">
        <v>97</v>
      </c>
      <c r="E5" s="5" t="s">
        <v>51</v>
      </c>
      <c r="F5">
        <v>899</v>
      </c>
      <c r="G5">
        <v>1099</v>
      </c>
      <c r="H5" s="5" t="s">
        <v>142</v>
      </c>
      <c r="I5">
        <v>4.5999999999999996</v>
      </c>
      <c r="J5">
        <v>67</v>
      </c>
      <c r="K5" s="5" t="s">
        <v>155</v>
      </c>
      <c r="L5" s="5" t="s">
        <v>144</v>
      </c>
      <c r="M5" s="5" t="s">
        <v>144</v>
      </c>
      <c r="N5">
        <v>4</v>
      </c>
      <c r="O5">
        <v>647.28</v>
      </c>
      <c r="P5" s="5" t="s">
        <v>46</v>
      </c>
    </row>
    <row r="6" spans="1:16" x14ac:dyDescent="0.3">
      <c r="A6" s="5" t="s">
        <v>156</v>
      </c>
      <c r="B6" s="5" t="s">
        <v>157</v>
      </c>
      <c r="C6" s="5" t="s">
        <v>158</v>
      </c>
      <c r="D6" s="5" t="s">
        <v>90</v>
      </c>
      <c r="E6" s="5" t="s">
        <v>47</v>
      </c>
      <c r="F6">
        <v>189</v>
      </c>
      <c r="H6" s="5" t="s">
        <v>142</v>
      </c>
      <c r="I6">
        <v>4.5</v>
      </c>
      <c r="J6">
        <v>312</v>
      </c>
      <c r="L6" s="5" t="s">
        <v>144</v>
      </c>
      <c r="M6" s="5" t="s">
        <v>144</v>
      </c>
      <c r="N6">
        <v>10</v>
      </c>
      <c r="O6">
        <v>136.08000000000001</v>
      </c>
      <c r="P6" s="5" t="s">
        <v>46</v>
      </c>
    </row>
    <row r="7" spans="1:16" x14ac:dyDescent="0.3">
      <c r="A7" s="5" t="s">
        <v>159</v>
      </c>
      <c r="B7" s="5" t="s">
        <v>160</v>
      </c>
      <c r="C7" s="5" t="s">
        <v>161</v>
      </c>
      <c r="D7" s="5" t="s">
        <v>87</v>
      </c>
      <c r="E7" s="5" t="s">
        <v>42</v>
      </c>
      <c r="F7">
        <v>2499</v>
      </c>
      <c r="G7">
        <v>2899</v>
      </c>
      <c r="H7" s="5" t="s">
        <v>142</v>
      </c>
      <c r="I7">
        <v>4.8</v>
      </c>
      <c r="J7">
        <v>45</v>
      </c>
      <c r="K7" s="5" t="s">
        <v>162</v>
      </c>
      <c r="L7" s="5" t="s">
        <v>144</v>
      </c>
      <c r="M7" s="5" t="s">
        <v>144</v>
      </c>
      <c r="N7">
        <v>2</v>
      </c>
      <c r="O7">
        <v>1799.28</v>
      </c>
      <c r="P7" s="5" t="s">
        <v>46</v>
      </c>
    </row>
    <row r="8" spans="1:16" x14ac:dyDescent="0.3">
      <c r="A8" s="5" t="s">
        <v>163</v>
      </c>
      <c r="B8" s="5" t="s">
        <v>164</v>
      </c>
      <c r="C8" s="5" t="s">
        <v>165</v>
      </c>
      <c r="D8" s="5" t="s">
        <v>120</v>
      </c>
      <c r="E8" s="5" t="s">
        <v>47</v>
      </c>
      <c r="F8">
        <v>549</v>
      </c>
      <c r="H8" s="5" t="s">
        <v>142</v>
      </c>
      <c r="I8">
        <v>4.3</v>
      </c>
      <c r="J8">
        <v>28</v>
      </c>
      <c r="K8" s="5" t="s">
        <v>143</v>
      </c>
      <c r="L8" s="5" t="s">
        <v>144</v>
      </c>
      <c r="M8" s="5" t="s">
        <v>144</v>
      </c>
      <c r="N8">
        <v>3</v>
      </c>
      <c r="O8">
        <v>395.28</v>
      </c>
      <c r="P8" s="5" t="s">
        <v>46</v>
      </c>
    </row>
    <row r="9" spans="1:16" x14ac:dyDescent="0.3">
      <c r="A9" s="5" t="s">
        <v>166</v>
      </c>
      <c r="B9" s="5" t="s">
        <v>167</v>
      </c>
      <c r="C9" s="5" t="s">
        <v>168</v>
      </c>
      <c r="D9" s="5" t="s">
        <v>84</v>
      </c>
      <c r="E9" s="5" t="s">
        <v>42</v>
      </c>
      <c r="F9">
        <v>799</v>
      </c>
      <c r="G9">
        <v>899</v>
      </c>
      <c r="H9" s="5" t="s">
        <v>142</v>
      </c>
      <c r="I9">
        <v>4.9000000000000004</v>
      </c>
      <c r="J9">
        <v>178</v>
      </c>
      <c r="K9" s="5" t="s">
        <v>169</v>
      </c>
      <c r="L9" s="5" t="s">
        <v>144</v>
      </c>
      <c r="M9" s="5" t="s">
        <v>144</v>
      </c>
      <c r="N9">
        <v>5</v>
      </c>
      <c r="O9">
        <v>575.28</v>
      </c>
      <c r="P9" s="5" t="s">
        <v>46</v>
      </c>
    </row>
    <row r="10" spans="1:16" x14ac:dyDescent="0.3">
      <c r="A10" s="5" t="s">
        <v>170</v>
      </c>
      <c r="B10" s="5" t="s">
        <v>171</v>
      </c>
      <c r="C10" s="5" t="s">
        <v>172</v>
      </c>
      <c r="D10" s="5" t="s">
        <v>109</v>
      </c>
      <c r="E10" s="5" t="s">
        <v>51</v>
      </c>
      <c r="F10">
        <v>599</v>
      </c>
      <c r="G10">
        <v>749</v>
      </c>
      <c r="H10" s="5" t="s">
        <v>142</v>
      </c>
      <c r="I10">
        <v>4.4000000000000004</v>
      </c>
      <c r="J10">
        <v>91</v>
      </c>
      <c r="K10" s="5" t="s">
        <v>173</v>
      </c>
      <c r="L10" s="5" t="s">
        <v>144</v>
      </c>
      <c r="M10" s="5" t="s">
        <v>174</v>
      </c>
      <c r="N10">
        <v>5</v>
      </c>
      <c r="O10">
        <v>431.28</v>
      </c>
      <c r="P10" s="5" t="s">
        <v>46</v>
      </c>
    </row>
    <row r="11" spans="1:16" x14ac:dyDescent="0.3">
      <c r="A11" s="5" t="s">
        <v>175</v>
      </c>
      <c r="B11" s="5" t="s">
        <v>176</v>
      </c>
      <c r="C11" s="5" t="s">
        <v>177</v>
      </c>
      <c r="D11" s="5" t="s">
        <v>94</v>
      </c>
      <c r="E11" s="5" t="s">
        <v>58</v>
      </c>
      <c r="F11">
        <v>249</v>
      </c>
      <c r="G11">
        <v>299</v>
      </c>
      <c r="H11" s="5" t="s">
        <v>142</v>
      </c>
      <c r="I11">
        <v>4.5999999999999996</v>
      </c>
      <c r="J11">
        <v>203</v>
      </c>
      <c r="K11" s="5" t="s">
        <v>155</v>
      </c>
      <c r="L11" s="5" t="s">
        <v>144</v>
      </c>
      <c r="M11" s="5" t="s">
        <v>174</v>
      </c>
      <c r="N11">
        <v>5</v>
      </c>
      <c r="O11">
        <v>179.28</v>
      </c>
      <c r="P11" s="5" t="s">
        <v>46</v>
      </c>
    </row>
    <row r="12" spans="1:16" x14ac:dyDescent="0.3">
      <c r="A12" s="5" t="s">
        <v>178</v>
      </c>
      <c r="B12" s="5" t="s">
        <v>179</v>
      </c>
      <c r="C12" s="5" t="s">
        <v>180</v>
      </c>
      <c r="D12" s="5" t="s">
        <v>101</v>
      </c>
      <c r="E12" s="5" t="s">
        <v>51</v>
      </c>
      <c r="F12">
        <v>199</v>
      </c>
      <c r="H12" s="5" t="s">
        <v>142</v>
      </c>
      <c r="I12">
        <v>4.5</v>
      </c>
      <c r="J12">
        <v>54</v>
      </c>
      <c r="L12" s="5" t="s">
        <v>144</v>
      </c>
      <c r="M12" s="5" t="s">
        <v>174</v>
      </c>
      <c r="N12">
        <v>5</v>
      </c>
      <c r="O12">
        <v>143.28</v>
      </c>
      <c r="P12" s="5" t="s">
        <v>46</v>
      </c>
    </row>
    <row r="13" spans="1:16" x14ac:dyDescent="0.3">
      <c r="A13" s="5" t="s">
        <v>181</v>
      </c>
      <c r="B13" s="5" t="s">
        <v>182</v>
      </c>
      <c r="C13" s="5" t="s">
        <v>183</v>
      </c>
      <c r="D13" s="5" t="s">
        <v>117</v>
      </c>
      <c r="E13" s="5" t="s">
        <v>42</v>
      </c>
      <c r="F13">
        <v>1199</v>
      </c>
      <c r="G13">
        <v>1399</v>
      </c>
      <c r="H13" s="5" t="s">
        <v>142</v>
      </c>
      <c r="I13">
        <v>4.7</v>
      </c>
      <c r="J13">
        <v>38</v>
      </c>
      <c r="K13" s="5" t="s">
        <v>143</v>
      </c>
      <c r="L13" s="5" t="s">
        <v>144</v>
      </c>
      <c r="M13" s="5" t="s">
        <v>144</v>
      </c>
      <c r="N13">
        <v>5</v>
      </c>
      <c r="O13">
        <v>863.28</v>
      </c>
      <c r="P13" s="5" t="s">
        <v>46</v>
      </c>
    </row>
    <row r="14" spans="1:16" x14ac:dyDescent="0.3">
      <c r="A14" s="5" t="s">
        <v>184</v>
      </c>
      <c r="B14" s="5" t="s">
        <v>185</v>
      </c>
      <c r="C14" s="5" t="s">
        <v>186</v>
      </c>
      <c r="D14" s="5" t="s">
        <v>105</v>
      </c>
      <c r="E14" s="5" t="s">
        <v>51</v>
      </c>
      <c r="F14">
        <v>1099</v>
      </c>
      <c r="H14" s="5" t="s">
        <v>142</v>
      </c>
      <c r="I14">
        <v>4.5999999999999996</v>
      </c>
      <c r="J14">
        <v>72</v>
      </c>
      <c r="L14" s="5" t="s">
        <v>144</v>
      </c>
      <c r="M14" s="5" t="s">
        <v>174</v>
      </c>
      <c r="N14">
        <v>5</v>
      </c>
      <c r="O14">
        <v>791.28</v>
      </c>
      <c r="P14" s="5" t="s">
        <v>46</v>
      </c>
    </row>
    <row r="15" spans="1:16" x14ac:dyDescent="0.3">
      <c r="A15" s="5" t="s">
        <v>187</v>
      </c>
      <c r="B15" s="5" t="s">
        <v>188</v>
      </c>
      <c r="C15" s="5" t="s">
        <v>189</v>
      </c>
      <c r="D15" s="5" t="s">
        <v>113</v>
      </c>
      <c r="E15" s="5" t="s">
        <v>42</v>
      </c>
      <c r="F15">
        <v>329</v>
      </c>
      <c r="G15">
        <v>399</v>
      </c>
      <c r="H15" s="5" t="s">
        <v>142</v>
      </c>
      <c r="I15">
        <v>4.4000000000000004</v>
      </c>
      <c r="J15">
        <v>116</v>
      </c>
      <c r="K15" s="5" t="s">
        <v>190</v>
      </c>
      <c r="L15" s="5" t="s">
        <v>144</v>
      </c>
      <c r="M15" s="5" t="s">
        <v>174</v>
      </c>
      <c r="N15">
        <v>5</v>
      </c>
      <c r="O15">
        <v>236.88</v>
      </c>
      <c r="P15" s="5" t="s">
        <v>46</v>
      </c>
    </row>
    <row r="16" spans="1:16" x14ac:dyDescent="0.3">
      <c r="A16" s="5" t="s">
        <v>191</v>
      </c>
      <c r="B16" s="5" t="s">
        <v>192</v>
      </c>
      <c r="C16" s="5" t="s">
        <v>193</v>
      </c>
      <c r="D16" s="5" t="s">
        <v>90</v>
      </c>
      <c r="E16" s="5" t="s">
        <v>58</v>
      </c>
      <c r="F16">
        <v>59</v>
      </c>
      <c r="G16">
        <v>79</v>
      </c>
      <c r="H16" s="5" t="s">
        <v>142</v>
      </c>
      <c r="I16">
        <v>4.3</v>
      </c>
      <c r="J16">
        <v>188</v>
      </c>
      <c r="K16" s="5" t="s">
        <v>155</v>
      </c>
      <c r="L16" s="5" t="s">
        <v>144</v>
      </c>
      <c r="M16" s="5" t="s">
        <v>174</v>
      </c>
      <c r="N16">
        <v>5</v>
      </c>
      <c r="O16">
        <v>42.48</v>
      </c>
      <c r="P16" s="5" t="s">
        <v>46</v>
      </c>
    </row>
    <row r="17" spans="1:16" x14ac:dyDescent="0.3">
      <c r="A17" s="5" t="s">
        <v>194</v>
      </c>
      <c r="B17" s="5" t="s">
        <v>195</v>
      </c>
      <c r="C17" s="5" t="s">
        <v>196</v>
      </c>
      <c r="D17" s="5" t="s">
        <v>123</v>
      </c>
      <c r="E17" s="5" t="s">
        <v>62</v>
      </c>
      <c r="F17">
        <v>449</v>
      </c>
      <c r="H17" s="5" t="s">
        <v>142</v>
      </c>
      <c r="I17">
        <v>4.9000000000000004</v>
      </c>
      <c r="J17">
        <v>64</v>
      </c>
      <c r="K17" s="5" t="s">
        <v>162</v>
      </c>
      <c r="L17" s="5" t="s">
        <v>174</v>
      </c>
      <c r="M17" s="5" t="s">
        <v>174</v>
      </c>
      <c r="N17">
        <v>5</v>
      </c>
      <c r="O17">
        <v>323.27999999999997</v>
      </c>
      <c r="P17" s="5" t="s">
        <v>46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E3634A-1FA6-445B-9D53-F5362BA4C16C}">
          <x14:formula1>
            <xm:f>Brands!$B$2:$B$16</xm:f>
          </x14:formula1>
          <xm:sqref>D2:D17</xm:sqref>
        </x14:dataValidation>
        <x14:dataValidation type="list" allowBlank="1" showInputMessage="1" showErrorMessage="1" xr:uid="{3DB91BFE-D415-4940-AA56-98DEF3C960D2}">
          <x14:formula1>
            <xm:f>Categories!$A$2:$A$9</xm:f>
          </x14:formula1>
          <xm:sqref>E2:E17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9B39-4EE1-4CFB-B751-82B6D81344DC}">
  <dimension ref="A1:F9"/>
  <sheetViews>
    <sheetView workbookViewId="0"/>
  </sheetViews>
  <sheetFormatPr defaultRowHeight="14.4" x14ac:dyDescent="0.3"/>
  <cols>
    <col min="1" max="1" width="10" bestFit="1" customWidth="1"/>
    <col min="2" max="2" width="10.6640625" bestFit="1" customWidth="1"/>
    <col min="3" max="3" width="9.88671875" bestFit="1" customWidth="1"/>
    <col min="4" max="4" width="10.109375" bestFit="1" customWidth="1"/>
    <col min="5" max="5" width="10.6640625" bestFit="1" customWidth="1"/>
    <col min="6" max="6" width="10.5546875" bestFit="1" customWidth="1"/>
  </cols>
  <sheetData>
    <row r="1" spans="1:6" x14ac:dyDescent="0.3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</row>
    <row r="2" spans="1:6" x14ac:dyDescent="0.3">
      <c r="A2" t="s">
        <v>42</v>
      </c>
      <c r="B2" t="s">
        <v>43</v>
      </c>
      <c r="C2" t="s">
        <v>44</v>
      </c>
      <c r="D2">
        <v>1240</v>
      </c>
      <c r="E2" t="s">
        <v>45</v>
      </c>
      <c r="F2" t="s">
        <v>46</v>
      </c>
    </row>
    <row r="3" spans="1:6" x14ac:dyDescent="0.3">
      <c r="A3" t="s">
        <v>47</v>
      </c>
      <c r="B3" t="s">
        <v>48</v>
      </c>
      <c r="C3" t="s">
        <v>49</v>
      </c>
      <c r="D3">
        <v>856</v>
      </c>
      <c r="E3" t="s">
        <v>50</v>
      </c>
      <c r="F3" t="s">
        <v>46</v>
      </c>
    </row>
    <row r="4" spans="1:6" x14ac:dyDescent="0.3">
      <c r="A4" t="s">
        <v>51</v>
      </c>
      <c r="B4" t="s">
        <v>52</v>
      </c>
      <c r="C4" t="s">
        <v>53</v>
      </c>
      <c r="D4">
        <v>634</v>
      </c>
      <c r="E4" t="s">
        <v>51</v>
      </c>
      <c r="F4" t="s">
        <v>46</v>
      </c>
    </row>
    <row r="5" spans="1:6" x14ac:dyDescent="0.3">
      <c r="A5" t="s">
        <v>54</v>
      </c>
      <c r="B5" t="s">
        <v>55</v>
      </c>
      <c r="C5" t="s">
        <v>56</v>
      </c>
      <c r="D5">
        <v>412</v>
      </c>
      <c r="E5" t="s">
        <v>57</v>
      </c>
      <c r="F5" t="s">
        <v>46</v>
      </c>
    </row>
    <row r="6" spans="1:6" x14ac:dyDescent="0.3">
      <c r="A6" t="s">
        <v>58</v>
      </c>
      <c r="B6" t="s">
        <v>59</v>
      </c>
      <c r="C6" t="s">
        <v>60</v>
      </c>
      <c r="D6">
        <v>298</v>
      </c>
      <c r="E6" t="s">
        <v>61</v>
      </c>
      <c r="F6" t="s">
        <v>46</v>
      </c>
    </row>
    <row r="7" spans="1:6" x14ac:dyDescent="0.3">
      <c r="A7" t="s">
        <v>62</v>
      </c>
      <c r="B7" t="s">
        <v>63</v>
      </c>
      <c r="C7" t="s">
        <v>64</v>
      </c>
      <c r="D7">
        <v>367</v>
      </c>
      <c r="E7" t="s">
        <v>65</v>
      </c>
      <c r="F7" t="s">
        <v>46</v>
      </c>
    </row>
    <row r="8" spans="1:6" x14ac:dyDescent="0.3">
      <c r="A8" t="s">
        <v>66</v>
      </c>
      <c r="B8" t="s">
        <v>67</v>
      </c>
      <c r="C8" t="s">
        <v>68</v>
      </c>
      <c r="D8">
        <v>189</v>
      </c>
      <c r="E8" t="s">
        <v>69</v>
      </c>
      <c r="F8" t="s">
        <v>46</v>
      </c>
    </row>
    <row r="9" spans="1:6" x14ac:dyDescent="0.3">
      <c r="A9" t="s">
        <v>70</v>
      </c>
      <c r="B9" t="s">
        <v>71</v>
      </c>
      <c r="C9" t="s">
        <v>72</v>
      </c>
      <c r="D9">
        <v>523</v>
      </c>
      <c r="E9" t="s">
        <v>73</v>
      </c>
      <c r="F9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E89B-0961-40C2-96E9-FAC8529177FC}">
  <dimension ref="A1:E16"/>
  <sheetViews>
    <sheetView workbookViewId="0"/>
  </sheetViews>
  <sheetFormatPr defaultRowHeight="14.4" x14ac:dyDescent="0.3"/>
  <cols>
    <col min="1" max="1" width="8.21875" bestFit="1" customWidth="1"/>
    <col min="2" max="2" width="10.109375" bestFit="1" customWidth="1"/>
    <col min="4" max="4" width="9.6640625" bestFit="1" customWidth="1"/>
    <col min="5" max="5" width="10.5546875" bestFit="1" customWidth="1"/>
  </cols>
  <sheetData>
    <row r="1" spans="1:5" x14ac:dyDescent="0.3">
      <c r="A1" s="3" t="s">
        <v>36</v>
      </c>
      <c r="B1" s="3" t="s">
        <v>37</v>
      </c>
      <c r="C1" s="3" t="s">
        <v>74</v>
      </c>
      <c r="D1" s="3" t="s">
        <v>75</v>
      </c>
      <c r="E1" s="3" t="s">
        <v>41</v>
      </c>
    </row>
    <row r="2" spans="1:5" x14ac:dyDescent="0.3">
      <c r="A2" t="s">
        <v>76</v>
      </c>
      <c r="B2" t="s">
        <v>77</v>
      </c>
      <c r="C2" t="s">
        <v>78</v>
      </c>
      <c r="D2" t="s">
        <v>79</v>
      </c>
      <c r="E2" t="s">
        <v>46</v>
      </c>
    </row>
    <row r="3" spans="1:5" x14ac:dyDescent="0.3">
      <c r="A3" t="s">
        <v>80</v>
      </c>
      <c r="B3" t="s">
        <v>81</v>
      </c>
      <c r="D3" t="s">
        <v>82</v>
      </c>
      <c r="E3" t="s">
        <v>46</v>
      </c>
    </row>
    <row r="4" spans="1:5" x14ac:dyDescent="0.3">
      <c r="A4" t="s">
        <v>83</v>
      </c>
      <c r="B4" t="s">
        <v>84</v>
      </c>
      <c r="C4" t="s">
        <v>85</v>
      </c>
      <c r="D4" t="s">
        <v>82</v>
      </c>
      <c r="E4" t="s">
        <v>46</v>
      </c>
    </row>
    <row r="5" spans="1:5" x14ac:dyDescent="0.3">
      <c r="A5" t="s">
        <v>86</v>
      </c>
      <c r="B5" t="s">
        <v>87</v>
      </c>
      <c r="C5" t="s">
        <v>87</v>
      </c>
      <c r="D5" t="s">
        <v>88</v>
      </c>
      <c r="E5" t="s">
        <v>46</v>
      </c>
    </row>
    <row r="6" spans="1:5" x14ac:dyDescent="0.3">
      <c r="A6" t="s">
        <v>89</v>
      </c>
      <c r="B6" t="s">
        <v>90</v>
      </c>
      <c r="C6" t="s">
        <v>91</v>
      </c>
      <c r="D6" t="s">
        <v>92</v>
      </c>
      <c r="E6" t="s">
        <v>46</v>
      </c>
    </row>
    <row r="7" spans="1:5" x14ac:dyDescent="0.3">
      <c r="A7" t="s">
        <v>93</v>
      </c>
      <c r="B7" t="s">
        <v>94</v>
      </c>
      <c r="C7" t="s">
        <v>95</v>
      </c>
      <c r="D7" t="s">
        <v>82</v>
      </c>
      <c r="E7" t="s">
        <v>46</v>
      </c>
    </row>
    <row r="8" spans="1:5" x14ac:dyDescent="0.3">
      <c r="A8" t="s">
        <v>96</v>
      </c>
      <c r="B8" t="s">
        <v>97</v>
      </c>
      <c r="C8" t="s">
        <v>98</v>
      </c>
      <c r="D8" t="s">
        <v>99</v>
      </c>
      <c r="E8" t="s">
        <v>46</v>
      </c>
    </row>
    <row r="9" spans="1:5" x14ac:dyDescent="0.3">
      <c r="A9" t="s">
        <v>100</v>
      </c>
      <c r="B9" t="s">
        <v>101</v>
      </c>
      <c r="C9" t="s">
        <v>102</v>
      </c>
      <c r="D9" t="s">
        <v>103</v>
      </c>
      <c r="E9" t="s">
        <v>46</v>
      </c>
    </row>
    <row r="10" spans="1:5" x14ac:dyDescent="0.3">
      <c r="A10" t="s">
        <v>104</v>
      </c>
      <c r="B10" t="s">
        <v>105</v>
      </c>
      <c r="C10" t="s">
        <v>106</v>
      </c>
      <c r="D10" t="s">
        <v>107</v>
      </c>
      <c r="E10" t="s">
        <v>46</v>
      </c>
    </row>
    <row r="11" spans="1:5" x14ac:dyDescent="0.3">
      <c r="A11" t="s">
        <v>108</v>
      </c>
      <c r="B11" t="s">
        <v>109</v>
      </c>
      <c r="C11" t="s">
        <v>110</v>
      </c>
      <c r="D11" t="s">
        <v>111</v>
      </c>
      <c r="E11" t="s">
        <v>46</v>
      </c>
    </row>
    <row r="12" spans="1:5" x14ac:dyDescent="0.3">
      <c r="A12" t="s">
        <v>112</v>
      </c>
      <c r="B12" t="s">
        <v>113</v>
      </c>
      <c r="C12" t="s">
        <v>114</v>
      </c>
      <c r="D12" t="s">
        <v>115</v>
      </c>
      <c r="E12" t="s">
        <v>46</v>
      </c>
    </row>
    <row r="13" spans="1:5" x14ac:dyDescent="0.3">
      <c r="A13" t="s">
        <v>116</v>
      </c>
      <c r="B13" t="s">
        <v>117</v>
      </c>
      <c r="C13" t="s">
        <v>117</v>
      </c>
      <c r="D13" t="s">
        <v>118</v>
      </c>
      <c r="E13" t="s">
        <v>46</v>
      </c>
    </row>
    <row r="14" spans="1:5" x14ac:dyDescent="0.3">
      <c r="A14" t="s">
        <v>119</v>
      </c>
      <c r="B14" t="s">
        <v>120</v>
      </c>
      <c r="C14" t="s">
        <v>121</v>
      </c>
      <c r="D14" t="s">
        <v>92</v>
      </c>
      <c r="E14" t="s">
        <v>46</v>
      </c>
    </row>
    <row r="15" spans="1:5" x14ac:dyDescent="0.3">
      <c r="A15" t="s">
        <v>122</v>
      </c>
      <c r="B15" t="s">
        <v>123</v>
      </c>
      <c r="C15" t="s">
        <v>123</v>
      </c>
      <c r="D15" t="s">
        <v>124</v>
      </c>
      <c r="E15" t="s">
        <v>46</v>
      </c>
    </row>
    <row r="16" spans="1:5" x14ac:dyDescent="0.3">
      <c r="A16" t="s">
        <v>125</v>
      </c>
      <c r="B16" t="s">
        <v>120</v>
      </c>
      <c r="C16" t="s">
        <v>121</v>
      </c>
      <c r="D16" t="s">
        <v>92</v>
      </c>
      <c r="E16" t="s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6CF3-5645-4674-A18F-F2F5BB17DBD1}">
  <dimension ref="A1:J17"/>
  <sheetViews>
    <sheetView workbookViewId="0"/>
  </sheetViews>
  <sheetFormatPr defaultRowHeight="14.4" x14ac:dyDescent="0.3"/>
  <cols>
    <col min="1" max="1" width="7.109375" bestFit="1" customWidth="1"/>
    <col min="2" max="2" width="15.21875" bestFit="1" customWidth="1"/>
    <col min="3" max="3" width="27.77734375" bestFit="1" customWidth="1"/>
    <col min="4" max="4" width="14.33203125" bestFit="1" customWidth="1"/>
    <col min="5" max="5" width="12.21875" bestFit="1" customWidth="1"/>
    <col min="6" max="6" width="8.109375" bestFit="1" customWidth="1"/>
    <col min="7" max="7" width="13.44140625" bestFit="1" customWidth="1"/>
    <col min="8" max="8" width="14.44140625" bestFit="1" customWidth="1"/>
    <col min="9" max="9" width="10.5546875" bestFit="1" customWidth="1"/>
    <col min="10" max="10" width="9.33203125" bestFit="1" customWidth="1"/>
  </cols>
  <sheetData>
    <row r="1" spans="1:10" x14ac:dyDescent="0.3">
      <c r="A1" s="6" t="s">
        <v>36</v>
      </c>
      <c r="B1" s="6" t="s">
        <v>126</v>
      </c>
      <c r="C1" s="6" t="s">
        <v>37</v>
      </c>
      <c r="D1" s="6" t="s">
        <v>197</v>
      </c>
      <c r="E1" s="6" t="s">
        <v>198</v>
      </c>
      <c r="F1" s="6" t="s">
        <v>199</v>
      </c>
      <c r="G1" s="6" t="s">
        <v>137</v>
      </c>
      <c r="H1" s="6" t="s">
        <v>200</v>
      </c>
      <c r="I1" s="6" t="s">
        <v>41</v>
      </c>
      <c r="J1" s="6" t="s">
        <v>201</v>
      </c>
    </row>
    <row r="2" spans="1:10" x14ac:dyDescent="0.3">
      <c r="A2" s="5" t="s">
        <v>139</v>
      </c>
      <c r="B2" s="5" t="s">
        <v>140</v>
      </c>
      <c r="C2" s="5" t="s">
        <v>141</v>
      </c>
      <c r="D2" s="5" t="s">
        <v>24</v>
      </c>
      <c r="E2" s="5" t="s">
        <v>202</v>
      </c>
      <c r="F2">
        <v>24</v>
      </c>
      <c r="G2">
        <v>5</v>
      </c>
      <c r="H2">
        <v>10</v>
      </c>
      <c r="I2" s="5" t="s">
        <v>203</v>
      </c>
      <c r="J2" t="str">
        <f>IF(F2&lt;=G2,"MIN STOK","OK")</f>
        <v>OK</v>
      </c>
    </row>
    <row r="3" spans="1:10" x14ac:dyDescent="0.3">
      <c r="A3" s="5" t="s">
        <v>145</v>
      </c>
      <c r="B3" s="5" t="s">
        <v>146</v>
      </c>
      <c r="C3" s="5" t="s">
        <v>147</v>
      </c>
      <c r="D3" s="5" t="s">
        <v>24</v>
      </c>
      <c r="E3" s="5" t="s">
        <v>204</v>
      </c>
      <c r="F3">
        <v>8</v>
      </c>
      <c r="G3">
        <v>3</v>
      </c>
      <c r="H3">
        <v>10</v>
      </c>
      <c r="I3" s="5" t="s">
        <v>203</v>
      </c>
      <c r="J3" t="str">
        <f>IF(F3&lt;=G3,"MIN STOK","OK")</f>
        <v>OK</v>
      </c>
    </row>
    <row r="4" spans="1:10" x14ac:dyDescent="0.3">
      <c r="A4" s="5" t="s">
        <v>148</v>
      </c>
      <c r="B4" s="5" t="s">
        <v>149</v>
      </c>
      <c r="C4" s="5" t="s">
        <v>150</v>
      </c>
      <c r="D4" s="5" t="s">
        <v>205</v>
      </c>
      <c r="E4" s="5" t="s">
        <v>206</v>
      </c>
      <c r="F4">
        <v>2</v>
      </c>
      <c r="G4">
        <v>5</v>
      </c>
      <c r="H4">
        <v>10</v>
      </c>
      <c r="I4" s="5" t="s">
        <v>207</v>
      </c>
      <c r="J4" t="str">
        <f>IF(F4&lt;=G4,"MIN STOK","OK")</f>
        <v>MIN STOK</v>
      </c>
    </row>
    <row r="5" spans="1:10" x14ac:dyDescent="0.3">
      <c r="A5" s="5" t="s">
        <v>152</v>
      </c>
      <c r="B5" s="5" t="s">
        <v>153</v>
      </c>
      <c r="C5" s="5" t="s">
        <v>154</v>
      </c>
      <c r="D5" s="5" t="s">
        <v>205</v>
      </c>
      <c r="E5" s="5" t="s">
        <v>208</v>
      </c>
      <c r="F5">
        <v>15</v>
      </c>
      <c r="G5">
        <v>4</v>
      </c>
      <c r="H5">
        <v>10</v>
      </c>
      <c r="I5" s="5" t="s">
        <v>203</v>
      </c>
      <c r="J5" t="str">
        <f>IF(F5&lt;=G5,"MIN STOK","OK")</f>
        <v>OK</v>
      </c>
    </row>
    <row r="6" spans="1:10" x14ac:dyDescent="0.3">
      <c r="A6" s="5" t="s">
        <v>156</v>
      </c>
      <c r="B6" s="5" t="s">
        <v>157</v>
      </c>
      <c r="C6" s="5" t="s">
        <v>158</v>
      </c>
      <c r="D6" s="5" t="s">
        <v>209</v>
      </c>
      <c r="E6" s="5" t="s">
        <v>210</v>
      </c>
      <c r="F6">
        <v>40</v>
      </c>
      <c r="G6">
        <v>10</v>
      </c>
      <c r="H6">
        <v>20</v>
      </c>
      <c r="I6" s="5" t="s">
        <v>203</v>
      </c>
      <c r="J6" t="str">
        <f>IF(F6&lt;=G6,"MIN STOK","OK")</f>
        <v>OK</v>
      </c>
    </row>
    <row r="7" spans="1:10" x14ac:dyDescent="0.3">
      <c r="A7" s="5" t="s">
        <v>159</v>
      </c>
      <c r="B7" s="5" t="s">
        <v>160</v>
      </c>
      <c r="C7" s="5" t="s">
        <v>161</v>
      </c>
      <c r="D7" s="5" t="s">
        <v>24</v>
      </c>
      <c r="E7" s="5" t="s">
        <v>211</v>
      </c>
      <c r="F7">
        <v>3</v>
      </c>
      <c r="G7">
        <v>2</v>
      </c>
      <c r="H7">
        <v>10</v>
      </c>
      <c r="I7" s="5" t="s">
        <v>203</v>
      </c>
      <c r="J7" t="str">
        <f>IF(F7&lt;=G7,"MIN STOK","OK")</f>
        <v>OK</v>
      </c>
    </row>
    <row r="8" spans="1:10" x14ac:dyDescent="0.3">
      <c r="A8" s="5" t="s">
        <v>163</v>
      </c>
      <c r="B8" s="5" t="s">
        <v>164</v>
      </c>
      <c r="C8" s="5" t="s">
        <v>165</v>
      </c>
      <c r="D8" s="5" t="s">
        <v>205</v>
      </c>
      <c r="E8" s="5" t="s">
        <v>212</v>
      </c>
      <c r="F8">
        <v>1</v>
      </c>
      <c r="G8">
        <v>3</v>
      </c>
      <c r="H8">
        <v>10</v>
      </c>
      <c r="I8" s="5" t="s">
        <v>207</v>
      </c>
      <c r="J8" t="str">
        <f>IF(F8&lt;=G8,"MIN STOK","OK")</f>
        <v>MIN STOK</v>
      </c>
    </row>
    <row r="9" spans="1:10" x14ac:dyDescent="0.3">
      <c r="A9" s="5" t="s">
        <v>166</v>
      </c>
      <c r="B9" s="5" t="s">
        <v>167</v>
      </c>
      <c r="C9" s="5" t="s">
        <v>168</v>
      </c>
      <c r="D9" s="5" t="s">
        <v>24</v>
      </c>
      <c r="E9" s="5" t="s">
        <v>213</v>
      </c>
      <c r="F9">
        <v>12</v>
      </c>
      <c r="G9">
        <v>5</v>
      </c>
      <c r="H9">
        <v>10</v>
      </c>
      <c r="I9" s="5" t="s">
        <v>203</v>
      </c>
      <c r="J9" t="str">
        <f>IF(F9&lt;=G9,"MIN STOK","OK")</f>
        <v>OK</v>
      </c>
    </row>
    <row r="10" spans="1:10" x14ac:dyDescent="0.3">
      <c r="A10" s="5" t="s">
        <v>170</v>
      </c>
      <c r="B10" s="5" t="s">
        <v>171</v>
      </c>
      <c r="C10" s="5" t="s">
        <v>172</v>
      </c>
      <c r="D10" s="5" t="s">
        <v>24</v>
      </c>
      <c r="E10" s="5" t="s">
        <v>214</v>
      </c>
      <c r="F10">
        <v>10</v>
      </c>
      <c r="G10">
        <v>5</v>
      </c>
      <c r="H10">
        <v>10</v>
      </c>
      <c r="I10" s="5" t="s">
        <v>203</v>
      </c>
      <c r="J10" t="str">
        <f>IF(F10&lt;=G10,"MIN STOK","OK")</f>
        <v>OK</v>
      </c>
    </row>
    <row r="11" spans="1:10" x14ac:dyDescent="0.3">
      <c r="A11" s="5" t="s">
        <v>175</v>
      </c>
      <c r="B11" s="5" t="s">
        <v>176</v>
      </c>
      <c r="C11" s="5" t="s">
        <v>177</v>
      </c>
      <c r="D11" s="5" t="s">
        <v>24</v>
      </c>
      <c r="E11" s="5" t="s">
        <v>214</v>
      </c>
      <c r="F11">
        <v>10</v>
      </c>
      <c r="G11">
        <v>5</v>
      </c>
      <c r="H11">
        <v>10</v>
      </c>
      <c r="I11" s="5" t="s">
        <v>203</v>
      </c>
      <c r="J11" t="str">
        <f>IF(F11&lt;=G11,"MIN STOK","OK")</f>
        <v>OK</v>
      </c>
    </row>
    <row r="12" spans="1:10" x14ac:dyDescent="0.3">
      <c r="A12" s="5" t="s">
        <v>178</v>
      </c>
      <c r="B12" s="5" t="s">
        <v>179</v>
      </c>
      <c r="C12" s="5" t="s">
        <v>180</v>
      </c>
      <c r="D12" s="5" t="s">
        <v>24</v>
      </c>
      <c r="E12" s="5" t="s">
        <v>214</v>
      </c>
      <c r="F12">
        <v>10</v>
      </c>
      <c r="G12">
        <v>5</v>
      </c>
      <c r="H12">
        <v>10</v>
      </c>
      <c r="I12" s="5" t="s">
        <v>203</v>
      </c>
      <c r="J12" t="str">
        <f>IF(F12&lt;=G12,"MIN STOK","OK")</f>
        <v>OK</v>
      </c>
    </row>
    <row r="13" spans="1:10" x14ac:dyDescent="0.3">
      <c r="A13" s="5" t="s">
        <v>181</v>
      </c>
      <c r="B13" s="5" t="s">
        <v>182</v>
      </c>
      <c r="C13" s="5" t="s">
        <v>183</v>
      </c>
      <c r="D13" s="5" t="s">
        <v>24</v>
      </c>
      <c r="E13" s="5" t="s">
        <v>214</v>
      </c>
      <c r="F13">
        <v>10</v>
      </c>
      <c r="G13">
        <v>5</v>
      </c>
      <c r="H13">
        <v>10</v>
      </c>
      <c r="I13" s="5" t="s">
        <v>203</v>
      </c>
      <c r="J13" t="str">
        <f>IF(F13&lt;=G13,"MIN STOK","OK")</f>
        <v>OK</v>
      </c>
    </row>
    <row r="14" spans="1:10" x14ac:dyDescent="0.3">
      <c r="A14" s="5" t="s">
        <v>184</v>
      </c>
      <c r="B14" s="5" t="s">
        <v>185</v>
      </c>
      <c r="C14" s="5" t="s">
        <v>186</v>
      </c>
      <c r="D14" s="5" t="s">
        <v>24</v>
      </c>
      <c r="E14" s="5" t="s">
        <v>214</v>
      </c>
      <c r="F14">
        <v>10</v>
      </c>
      <c r="G14">
        <v>5</v>
      </c>
      <c r="H14">
        <v>10</v>
      </c>
      <c r="I14" s="5" t="s">
        <v>203</v>
      </c>
      <c r="J14" t="str">
        <f>IF(F14&lt;=G14,"MIN STOK","OK")</f>
        <v>OK</v>
      </c>
    </row>
    <row r="15" spans="1:10" x14ac:dyDescent="0.3">
      <c r="A15" s="5" t="s">
        <v>187</v>
      </c>
      <c r="B15" s="5" t="s">
        <v>188</v>
      </c>
      <c r="C15" s="5" t="s">
        <v>189</v>
      </c>
      <c r="D15" s="5" t="s">
        <v>24</v>
      </c>
      <c r="E15" s="5" t="s">
        <v>214</v>
      </c>
      <c r="F15">
        <v>10</v>
      </c>
      <c r="G15">
        <v>5</v>
      </c>
      <c r="H15">
        <v>10</v>
      </c>
      <c r="I15" s="5" t="s">
        <v>203</v>
      </c>
      <c r="J15" t="str">
        <f>IF(F15&lt;=G15,"MIN STOK","OK")</f>
        <v>OK</v>
      </c>
    </row>
    <row r="16" spans="1:10" x14ac:dyDescent="0.3">
      <c r="A16" s="5" t="s">
        <v>191</v>
      </c>
      <c r="B16" s="5" t="s">
        <v>192</v>
      </c>
      <c r="C16" s="5" t="s">
        <v>193</v>
      </c>
      <c r="D16" s="5" t="s">
        <v>24</v>
      </c>
      <c r="E16" s="5" t="s">
        <v>214</v>
      </c>
      <c r="F16">
        <v>10</v>
      </c>
      <c r="G16">
        <v>5</v>
      </c>
      <c r="H16">
        <v>10</v>
      </c>
      <c r="I16" s="5" t="s">
        <v>203</v>
      </c>
      <c r="J16" t="str">
        <f>IF(F16&lt;=G16,"MIN STOK","OK")</f>
        <v>OK</v>
      </c>
    </row>
    <row r="17" spans="1:10" x14ac:dyDescent="0.3">
      <c r="A17" s="5" t="s">
        <v>194</v>
      </c>
      <c r="B17" s="5" t="s">
        <v>195</v>
      </c>
      <c r="C17" s="5" t="s">
        <v>196</v>
      </c>
      <c r="D17" s="5" t="s">
        <v>24</v>
      </c>
      <c r="E17" s="5" t="s">
        <v>214</v>
      </c>
      <c r="F17">
        <v>10</v>
      </c>
      <c r="G17">
        <v>5</v>
      </c>
      <c r="H17">
        <v>10</v>
      </c>
      <c r="I17" s="5" t="s">
        <v>203</v>
      </c>
      <c r="J17" t="str">
        <f>IF(F17&lt;=G17,"MIN STOK","OK")</f>
        <v>OK</v>
      </c>
    </row>
  </sheetData>
  <conditionalFormatting sqref="F2:F17">
    <cfRule type="expression" dxfId="13" priority="1" stopIfTrue="1">
      <formula>F2&lt;=G2</formula>
    </cfRule>
  </conditionalFormatting>
  <conditionalFormatting sqref="J2:J17">
    <cfRule type="cellIs" dxfId="12" priority="2" stopIfTrue="1" operator="equal">
      <formula>"OK"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4EF5-8403-4C3C-BA30-50733F35A977}">
  <dimension ref="A1:K6"/>
  <sheetViews>
    <sheetView workbookViewId="0"/>
  </sheetViews>
  <sheetFormatPr defaultRowHeight="14.4" x14ac:dyDescent="0.3"/>
  <cols>
    <col min="1" max="1" width="12.77734375" bestFit="1" customWidth="1"/>
    <col min="2" max="2" width="9.33203125" bestFit="1" customWidth="1"/>
    <col min="3" max="3" width="14" bestFit="1" customWidth="1"/>
    <col min="4" max="4" width="17.33203125" bestFit="1" customWidth="1"/>
    <col min="5" max="5" width="13.6640625" bestFit="1" customWidth="1"/>
    <col min="6" max="6" width="15.109375" bestFit="1" customWidth="1"/>
    <col min="7" max="7" width="8.109375" bestFit="1" customWidth="1"/>
    <col min="8" max="8" width="12.44140625" bestFit="1" customWidth="1"/>
    <col min="9" max="9" width="9.33203125" bestFit="1" customWidth="1"/>
    <col min="10" max="10" width="10.5546875" bestFit="1" customWidth="1"/>
    <col min="11" max="11" width="12" bestFit="1" customWidth="1"/>
  </cols>
  <sheetData>
    <row r="1" spans="1:11" x14ac:dyDescent="0.3">
      <c r="A1" s="3" t="s">
        <v>270</v>
      </c>
      <c r="B1" s="3" t="s">
        <v>271</v>
      </c>
      <c r="C1" s="3" t="s">
        <v>272</v>
      </c>
      <c r="D1" s="3" t="s">
        <v>273</v>
      </c>
      <c r="E1" s="3" t="s">
        <v>274</v>
      </c>
      <c r="F1" s="3" t="s">
        <v>126</v>
      </c>
      <c r="G1" s="3" t="s">
        <v>199</v>
      </c>
      <c r="H1" s="3" t="s">
        <v>275</v>
      </c>
      <c r="I1" s="3" t="s">
        <v>276</v>
      </c>
      <c r="J1" s="3" t="s">
        <v>41</v>
      </c>
      <c r="K1" s="3" t="s">
        <v>277</v>
      </c>
    </row>
    <row r="2" spans="1:11" x14ac:dyDescent="0.3">
      <c r="A2" t="s">
        <v>278</v>
      </c>
      <c r="B2" s="8">
        <v>46204</v>
      </c>
      <c r="C2" t="s">
        <v>254</v>
      </c>
      <c r="D2" t="s">
        <v>255</v>
      </c>
      <c r="E2" t="s">
        <v>139</v>
      </c>
      <c r="F2" t="s">
        <v>140</v>
      </c>
      <c r="G2">
        <v>20</v>
      </c>
      <c r="H2">
        <v>1350</v>
      </c>
      <c r="I2">
        <f>G2*H2</f>
        <v>27000</v>
      </c>
      <c r="J2" t="s">
        <v>279</v>
      </c>
      <c r="K2" t="s">
        <v>280</v>
      </c>
    </row>
    <row r="3" spans="1:11" x14ac:dyDescent="0.3">
      <c r="A3" t="s">
        <v>281</v>
      </c>
      <c r="B3" s="8">
        <v>46208</v>
      </c>
      <c r="C3" t="s">
        <v>266</v>
      </c>
      <c r="D3" t="s">
        <v>267</v>
      </c>
      <c r="E3" t="s">
        <v>148</v>
      </c>
      <c r="F3" t="s">
        <v>149</v>
      </c>
      <c r="G3">
        <v>30</v>
      </c>
      <c r="H3">
        <v>300</v>
      </c>
      <c r="I3">
        <f>G3*H3</f>
        <v>9000</v>
      </c>
      <c r="J3" t="s">
        <v>279</v>
      </c>
      <c r="K3" t="s">
        <v>282</v>
      </c>
    </row>
    <row r="4" spans="1:11" x14ac:dyDescent="0.3">
      <c r="A4" t="s">
        <v>283</v>
      </c>
      <c r="B4" s="8">
        <v>46215</v>
      </c>
      <c r="C4" t="s">
        <v>258</v>
      </c>
      <c r="D4" t="s">
        <v>259</v>
      </c>
      <c r="E4" t="s">
        <v>156</v>
      </c>
      <c r="F4" t="s">
        <v>157</v>
      </c>
      <c r="G4">
        <v>50</v>
      </c>
      <c r="H4">
        <v>110</v>
      </c>
      <c r="I4">
        <f>G4*H4</f>
        <v>5500</v>
      </c>
      <c r="J4" t="s">
        <v>284</v>
      </c>
      <c r="K4" t="s">
        <v>285</v>
      </c>
    </row>
    <row r="5" spans="1:11" x14ac:dyDescent="0.3">
      <c r="A5" t="s">
        <v>286</v>
      </c>
      <c r="B5" s="8">
        <v>46223</v>
      </c>
      <c r="C5" t="s">
        <v>262</v>
      </c>
      <c r="D5" t="s">
        <v>263</v>
      </c>
      <c r="E5" t="s">
        <v>152</v>
      </c>
      <c r="F5" t="s">
        <v>153</v>
      </c>
      <c r="G5">
        <v>10</v>
      </c>
      <c r="H5">
        <v>620</v>
      </c>
      <c r="I5">
        <f>G5*H5</f>
        <v>6200</v>
      </c>
      <c r="J5" t="s">
        <v>287</v>
      </c>
      <c r="K5" t="s">
        <v>97</v>
      </c>
    </row>
    <row r="6" spans="1:11" x14ac:dyDescent="0.3">
      <c r="A6" t="s">
        <v>288</v>
      </c>
      <c r="B6" s="8">
        <v>46231</v>
      </c>
      <c r="C6" t="s">
        <v>254</v>
      </c>
      <c r="D6" t="s">
        <v>255</v>
      </c>
      <c r="E6" t="s">
        <v>166</v>
      </c>
      <c r="F6" t="s">
        <v>167</v>
      </c>
      <c r="G6">
        <v>15</v>
      </c>
      <c r="H6">
        <v>560</v>
      </c>
      <c r="I6">
        <f>G6*H6</f>
        <v>8400</v>
      </c>
      <c r="J6" t="s">
        <v>284</v>
      </c>
      <c r="K6" t="s">
        <v>289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154D-286F-469F-8ABD-15189F9B4692}">
  <dimension ref="A1:L7"/>
  <sheetViews>
    <sheetView workbookViewId="0"/>
  </sheetViews>
  <sheetFormatPr defaultRowHeight="14.4" x14ac:dyDescent="0.3"/>
  <cols>
    <col min="1" max="1" width="12.6640625" bestFit="1" customWidth="1"/>
    <col min="2" max="2" width="9.33203125" bestFit="1" customWidth="1"/>
    <col min="3" max="3" width="15" bestFit="1" customWidth="1"/>
    <col min="4" max="4" width="18.44140625" bestFit="1" customWidth="1"/>
    <col min="5" max="5" width="13.6640625" bestFit="1" customWidth="1"/>
    <col min="6" max="6" width="14" bestFit="1" customWidth="1"/>
    <col min="7" max="7" width="8.109375" bestFit="1" customWidth="1"/>
    <col min="8" max="8" width="13" bestFit="1" customWidth="1"/>
    <col min="9" max="9" width="12.6640625" bestFit="1" customWidth="1"/>
    <col min="10" max="10" width="9.33203125" bestFit="1" customWidth="1"/>
    <col min="11" max="11" width="12" bestFit="1" customWidth="1"/>
    <col min="12" max="12" width="10.5546875" bestFit="1" customWidth="1"/>
  </cols>
  <sheetData>
    <row r="1" spans="1:12" x14ac:dyDescent="0.3">
      <c r="A1" s="3" t="s">
        <v>290</v>
      </c>
      <c r="B1" s="3" t="s">
        <v>271</v>
      </c>
      <c r="C1" s="3" t="s">
        <v>291</v>
      </c>
      <c r="D1" s="3" t="s">
        <v>292</v>
      </c>
      <c r="E1" s="3" t="s">
        <v>274</v>
      </c>
      <c r="F1" s="3" t="s">
        <v>126</v>
      </c>
      <c r="G1" s="3" t="s">
        <v>199</v>
      </c>
      <c r="H1" s="3" t="s">
        <v>293</v>
      </c>
      <c r="I1" s="3" t="s">
        <v>294</v>
      </c>
      <c r="J1" s="3" t="s">
        <v>276</v>
      </c>
      <c r="K1" s="3" t="s">
        <v>295</v>
      </c>
      <c r="L1" s="3" t="s">
        <v>41</v>
      </c>
    </row>
    <row r="2" spans="1:12" x14ac:dyDescent="0.3">
      <c r="A2" t="s">
        <v>296</v>
      </c>
      <c r="B2" s="8">
        <v>46206</v>
      </c>
      <c r="C2" t="s">
        <v>221</v>
      </c>
      <c r="D2" t="s">
        <v>222</v>
      </c>
      <c r="E2" t="s">
        <v>139</v>
      </c>
      <c r="F2" t="s">
        <v>140</v>
      </c>
      <c r="G2">
        <v>1</v>
      </c>
      <c r="H2">
        <v>1899</v>
      </c>
      <c r="I2">
        <v>0</v>
      </c>
      <c r="J2">
        <f>G2*H2-I2</f>
        <v>1899</v>
      </c>
      <c r="K2" t="s">
        <v>297</v>
      </c>
      <c r="L2" t="s">
        <v>298</v>
      </c>
    </row>
    <row r="3" spans="1:12" x14ac:dyDescent="0.3">
      <c r="A3" t="s">
        <v>299</v>
      </c>
      <c r="B3" s="8">
        <v>46211</v>
      </c>
      <c r="C3" t="s">
        <v>228</v>
      </c>
      <c r="D3" t="s">
        <v>229</v>
      </c>
      <c r="E3" t="s">
        <v>148</v>
      </c>
      <c r="F3" t="s">
        <v>149</v>
      </c>
      <c r="G3">
        <v>2</v>
      </c>
      <c r="H3">
        <v>449</v>
      </c>
      <c r="I3">
        <v>50</v>
      </c>
      <c r="J3">
        <f>G3*H3-I3</f>
        <v>848</v>
      </c>
      <c r="K3" t="s">
        <v>297</v>
      </c>
      <c r="L3" t="s">
        <v>298</v>
      </c>
    </row>
    <row r="4" spans="1:12" x14ac:dyDescent="0.3">
      <c r="A4" t="s">
        <v>300</v>
      </c>
      <c r="B4" s="8">
        <v>46218</v>
      </c>
      <c r="C4" t="s">
        <v>240</v>
      </c>
      <c r="D4" t="s">
        <v>241</v>
      </c>
      <c r="E4" t="s">
        <v>159</v>
      </c>
      <c r="F4" t="s">
        <v>160</v>
      </c>
      <c r="G4">
        <v>1</v>
      </c>
      <c r="H4">
        <v>2499</v>
      </c>
      <c r="I4">
        <v>100</v>
      </c>
      <c r="J4">
        <f>G4*H4-I4</f>
        <v>2399</v>
      </c>
      <c r="K4" t="s">
        <v>301</v>
      </c>
      <c r="L4" t="s">
        <v>298</v>
      </c>
    </row>
    <row r="5" spans="1:12" x14ac:dyDescent="0.3">
      <c r="A5" t="s">
        <v>302</v>
      </c>
      <c r="B5" s="8">
        <v>46225</v>
      </c>
      <c r="C5" t="s">
        <v>235</v>
      </c>
      <c r="D5" t="s">
        <v>236</v>
      </c>
      <c r="E5" t="s">
        <v>156</v>
      </c>
      <c r="F5" t="s">
        <v>157</v>
      </c>
      <c r="G5">
        <v>3</v>
      </c>
      <c r="H5">
        <v>189</v>
      </c>
      <c r="I5">
        <v>0</v>
      </c>
      <c r="J5">
        <f>G5*H5-I5</f>
        <v>567</v>
      </c>
      <c r="K5" t="s">
        <v>297</v>
      </c>
      <c r="L5" t="s">
        <v>303</v>
      </c>
    </row>
    <row r="6" spans="1:12" x14ac:dyDescent="0.3">
      <c r="A6" t="s">
        <v>304</v>
      </c>
      <c r="B6" s="8">
        <v>46228</v>
      </c>
      <c r="C6" t="s">
        <v>221</v>
      </c>
      <c r="D6" t="s">
        <v>222</v>
      </c>
      <c r="E6" t="s">
        <v>166</v>
      </c>
      <c r="F6" t="s">
        <v>167</v>
      </c>
      <c r="G6">
        <v>1</v>
      </c>
      <c r="H6">
        <v>799</v>
      </c>
      <c r="I6">
        <v>0</v>
      </c>
      <c r="J6">
        <f>G6*H6-I6</f>
        <v>799</v>
      </c>
      <c r="K6" t="s">
        <v>297</v>
      </c>
      <c r="L6" t="s">
        <v>298</v>
      </c>
    </row>
    <row r="7" spans="1:12" x14ac:dyDescent="0.3">
      <c r="A7" t="s">
        <v>305</v>
      </c>
      <c r="B7" s="8">
        <v>46233</v>
      </c>
      <c r="C7" t="s">
        <v>228</v>
      </c>
      <c r="D7" t="s">
        <v>229</v>
      </c>
      <c r="E7" t="s">
        <v>163</v>
      </c>
      <c r="F7" t="s">
        <v>164</v>
      </c>
      <c r="G7">
        <v>1</v>
      </c>
      <c r="H7">
        <v>549</v>
      </c>
      <c r="I7">
        <v>0</v>
      </c>
      <c r="J7">
        <f>G7*H7-I7</f>
        <v>549</v>
      </c>
      <c r="K7" t="s">
        <v>297</v>
      </c>
      <c r="L7" t="s">
        <v>306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0B04-40E4-480D-B0A6-F55F15756FD7}">
  <dimension ref="A1:I6"/>
  <sheetViews>
    <sheetView workbookViewId="0"/>
  </sheetViews>
  <sheetFormatPr defaultRowHeight="14.4" x14ac:dyDescent="0.3"/>
  <cols>
    <col min="1" max="1" width="7.109375" bestFit="1" customWidth="1"/>
    <col min="2" max="2" width="16.77734375" bestFit="1" customWidth="1"/>
    <col min="3" max="3" width="17.5546875" bestFit="1" customWidth="1"/>
    <col min="4" max="4" width="12" bestFit="1" customWidth="1"/>
    <col min="5" max="5" width="13.109375" bestFit="1" customWidth="1"/>
    <col min="6" max="6" width="10.6640625" bestFit="1" customWidth="1"/>
    <col min="7" max="7" width="15" bestFit="1" customWidth="1"/>
    <col min="8" max="8" width="9.109375" bestFit="1" customWidth="1"/>
    <col min="9" max="9" width="10.5546875" bestFit="1" customWidth="1"/>
  </cols>
  <sheetData>
    <row r="1" spans="1:9" x14ac:dyDescent="0.3">
      <c r="A1" s="3" t="s">
        <v>36</v>
      </c>
      <c r="B1" s="3" t="s">
        <v>37</v>
      </c>
      <c r="C1" s="3" t="s">
        <v>215</v>
      </c>
      <c r="D1" s="3" t="s">
        <v>216</v>
      </c>
      <c r="E1" s="3" t="s">
        <v>217</v>
      </c>
      <c r="F1" s="3" t="s">
        <v>218</v>
      </c>
      <c r="G1" s="3" t="s">
        <v>219</v>
      </c>
      <c r="H1" s="3" t="s">
        <v>220</v>
      </c>
      <c r="I1" s="3" t="s">
        <v>41</v>
      </c>
    </row>
    <row r="2" spans="1:9" x14ac:dyDescent="0.3">
      <c r="A2" t="s">
        <v>221</v>
      </c>
      <c r="B2" t="s">
        <v>222</v>
      </c>
      <c r="C2" t="s">
        <v>223</v>
      </c>
      <c r="D2">
        <v>994501112233</v>
      </c>
      <c r="E2" t="s">
        <v>224</v>
      </c>
      <c r="F2" t="s">
        <v>225</v>
      </c>
      <c r="G2" t="s">
        <v>226</v>
      </c>
      <c r="H2" t="s">
        <v>227</v>
      </c>
      <c r="I2" t="s">
        <v>46</v>
      </c>
    </row>
    <row r="3" spans="1:9" x14ac:dyDescent="0.3">
      <c r="A3" t="s">
        <v>228</v>
      </c>
      <c r="B3" t="s">
        <v>229</v>
      </c>
      <c r="C3" t="s">
        <v>230</v>
      </c>
      <c r="D3">
        <v>994552223344</v>
      </c>
      <c r="E3" t="s">
        <v>231</v>
      </c>
      <c r="F3" t="s">
        <v>232</v>
      </c>
      <c r="G3" t="s">
        <v>233</v>
      </c>
      <c r="H3" t="s">
        <v>234</v>
      </c>
      <c r="I3" t="s">
        <v>46</v>
      </c>
    </row>
    <row r="4" spans="1:9" x14ac:dyDescent="0.3">
      <c r="A4" t="s">
        <v>235</v>
      </c>
      <c r="B4" t="s">
        <v>236</v>
      </c>
      <c r="C4" t="s">
        <v>237</v>
      </c>
      <c r="D4">
        <v>994703334455</v>
      </c>
      <c r="E4" t="s">
        <v>238</v>
      </c>
      <c r="F4" t="s">
        <v>239</v>
      </c>
      <c r="G4" s="7">
        <v>39596</v>
      </c>
      <c r="H4" t="s">
        <v>227</v>
      </c>
      <c r="I4" t="s">
        <v>46</v>
      </c>
    </row>
    <row r="5" spans="1:9" x14ac:dyDescent="0.3">
      <c r="A5" t="s">
        <v>240</v>
      </c>
      <c r="B5" t="s">
        <v>241</v>
      </c>
      <c r="C5" t="s">
        <v>242</v>
      </c>
      <c r="D5">
        <v>994554445566</v>
      </c>
      <c r="E5" t="s">
        <v>243</v>
      </c>
      <c r="F5" t="s">
        <v>225</v>
      </c>
      <c r="G5" t="s">
        <v>244</v>
      </c>
      <c r="H5" t="s">
        <v>245</v>
      </c>
      <c r="I5" t="s">
        <v>46</v>
      </c>
    </row>
    <row r="6" spans="1:9" x14ac:dyDescent="0.3">
      <c r="A6" t="s">
        <v>246</v>
      </c>
      <c r="B6" t="s">
        <v>247</v>
      </c>
      <c r="C6" t="s">
        <v>248</v>
      </c>
      <c r="D6">
        <v>994505556677</v>
      </c>
      <c r="E6" t="s">
        <v>249</v>
      </c>
      <c r="F6" t="s">
        <v>250</v>
      </c>
      <c r="G6" t="s">
        <v>251</v>
      </c>
      <c r="H6" t="s">
        <v>227</v>
      </c>
      <c r="I6" t="s">
        <v>252</v>
      </c>
    </row>
  </sheetData>
  <dataValidations count="1">
    <dataValidation type="list" allowBlank="1" showInputMessage="1" showErrorMessage="1" sqref="H2:H6" xr:uid="{2D6A23A7-DB45-4CB3-9FEB-79327C8A3625}">
      <formula1>"retail,wholesale,corporate"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DDC9-FCA1-4D2B-9A37-9764ED7662B5}">
  <dimension ref="A1:H5"/>
  <sheetViews>
    <sheetView workbookViewId="0"/>
  </sheetViews>
  <sheetFormatPr defaultRowHeight="14.4" x14ac:dyDescent="0.3"/>
  <cols>
    <col min="1" max="1" width="7.109375" bestFit="1" customWidth="1"/>
    <col min="2" max="2" width="15.44140625" bestFit="1" customWidth="1"/>
    <col min="3" max="3" width="22" bestFit="1" customWidth="1"/>
    <col min="4" max="4" width="12" bestFit="1" customWidth="1"/>
    <col min="5" max="5" width="8.5546875" bestFit="1" customWidth="1"/>
    <col min="6" max="6" width="12.5546875" bestFit="1" customWidth="1"/>
    <col min="7" max="7" width="18" bestFit="1" customWidth="1"/>
    <col min="8" max="8" width="10.5546875" bestFit="1" customWidth="1"/>
  </cols>
  <sheetData>
    <row r="1" spans="1:8" x14ac:dyDescent="0.3">
      <c r="A1" s="3" t="s">
        <v>36</v>
      </c>
      <c r="B1" s="3" t="s">
        <v>37</v>
      </c>
      <c r="C1" s="3" t="s">
        <v>215</v>
      </c>
      <c r="D1" s="3" t="s">
        <v>216</v>
      </c>
      <c r="E1" s="3" t="s">
        <v>218</v>
      </c>
      <c r="F1" s="3" t="s">
        <v>128</v>
      </c>
      <c r="G1" s="3" t="s">
        <v>253</v>
      </c>
      <c r="H1" s="3" t="s">
        <v>41</v>
      </c>
    </row>
    <row r="2" spans="1:8" x14ac:dyDescent="0.3">
      <c r="A2" t="s">
        <v>254</v>
      </c>
      <c r="B2" t="s">
        <v>255</v>
      </c>
      <c r="C2" t="s">
        <v>256</v>
      </c>
      <c r="D2">
        <v>994125551100</v>
      </c>
      <c r="E2" t="s">
        <v>225</v>
      </c>
      <c r="F2" t="s">
        <v>42</v>
      </c>
      <c r="G2" t="s">
        <v>257</v>
      </c>
      <c r="H2" t="s">
        <v>46</v>
      </c>
    </row>
    <row r="3" spans="1:8" x14ac:dyDescent="0.3">
      <c r="A3" t="s">
        <v>258</v>
      </c>
      <c r="B3" t="s">
        <v>259</v>
      </c>
      <c r="C3" t="s">
        <v>260</v>
      </c>
      <c r="D3">
        <v>994125552200</v>
      </c>
      <c r="E3" t="s">
        <v>225</v>
      </c>
      <c r="F3" t="s">
        <v>47</v>
      </c>
      <c r="G3" t="s">
        <v>261</v>
      </c>
      <c r="H3" t="s">
        <v>46</v>
      </c>
    </row>
    <row r="4" spans="1:8" x14ac:dyDescent="0.3">
      <c r="A4" t="s">
        <v>262</v>
      </c>
      <c r="B4" t="s">
        <v>263</v>
      </c>
      <c r="C4" t="s">
        <v>264</v>
      </c>
      <c r="D4">
        <v>994125553300</v>
      </c>
      <c r="E4" t="s">
        <v>239</v>
      </c>
      <c r="F4" t="s">
        <v>51</v>
      </c>
      <c r="G4" t="s">
        <v>265</v>
      </c>
      <c r="H4" t="s">
        <v>46</v>
      </c>
    </row>
    <row r="5" spans="1:8" x14ac:dyDescent="0.3">
      <c r="A5" t="s">
        <v>266</v>
      </c>
      <c r="B5" t="s">
        <v>267</v>
      </c>
      <c r="C5" t="s">
        <v>268</v>
      </c>
      <c r="D5">
        <v>994125554400</v>
      </c>
      <c r="E5" t="s">
        <v>225</v>
      </c>
      <c r="F5" t="s">
        <v>42</v>
      </c>
      <c r="G5" t="s">
        <v>269</v>
      </c>
      <c r="H5" t="s">
        <v>46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CDA2-DE18-497E-9FE3-2447B960D423}">
  <dimension ref="A1:J55"/>
  <sheetViews>
    <sheetView workbookViewId="0"/>
  </sheetViews>
  <sheetFormatPr defaultRowHeight="14.4" x14ac:dyDescent="0.3"/>
  <cols>
    <col min="1" max="1" width="37" bestFit="1" customWidth="1"/>
    <col min="2" max="2" width="22.21875" bestFit="1" customWidth="1"/>
    <col min="3" max="3" width="21.88671875" bestFit="1" customWidth="1"/>
    <col min="4" max="4" width="13.33203125" bestFit="1" customWidth="1"/>
    <col min="5" max="5" width="16.77734375" bestFit="1" customWidth="1"/>
    <col min="6" max="6" width="9.33203125" bestFit="1" customWidth="1"/>
    <col min="7" max="7" width="10.5546875" bestFit="1" customWidth="1"/>
    <col min="8" max="8" width="21" bestFit="1" customWidth="1"/>
    <col min="9" max="9" width="15.33203125" bestFit="1" customWidth="1"/>
    <col min="10" max="10" width="10" bestFit="1" customWidth="1"/>
  </cols>
  <sheetData>
    <row r="1" spans="1:10" x14ac:dyDescent="0.3">
      <c r="A1" s="3" t="s">
        <v>307</v>
      </c>
      <c r="B1" s="3" t="s">
        <v>308</v>
      </c>
      <c r="C1" s="3" t="s">
        <v>309</v>
      </c>
      <c r="D1" s="3" t="s">
        <v>310</v>
      </c>
      <c r="E1" s="3" t="s">
        <v>311</v>
      </c>
      <c r="F1" s="3" t="s">
        <v>271</v>
      </c>
      <c r="G1" s="3" t="s">
        <v>41</v>
      </c>
      <c r="H1" s="3" t="s">
        <v>312</v>
      </c>
      <c r="I1" s="3" t="s">
        <v>313</v>
      </c>
      <c r="J1" s="3" t="s">
        <v>277</v>
      </c>
    </row>
    <row r="2" spans="1:10" x14ac:dyDescent="0.3">
      <c r="A2" t="s">
        <v>314</v>
      </c>
      <c r="B2" t="s">
        <v>315</v>
      </c>
      <c r="C2" t="s">
        <v>316</v>
      </c>
      <c r="D2" t="s">
        <v>296</v>
      </c>
      <c r="E2" t="s">
        <v>222</v>
      </c>
      <c r="F2" s="8">
        <v>46206</v>
      </c>
      <c r="G2" t="s">
        <v>317</v>
      </c>
      <c r="H2" t="s">
        <v>318</v>
      </c>
      <c r="I2" t="s">
        <v>319</v>
      </c>
      <c r="J2" t="s">
        <v>320</v>
      </c>
    </row>
    <row r="3" spans="1:10" x14ac:dyDescent="0.3">
      <c r="A3" t="s">
        <v>321</v>
      </c>
      <c r="B3" t="s">
        <v>322</v>
      </c>
      <c r="C3" t="s">
        <v>323</v>
      </c>
      <c r="D3" t="s">
        <v>299</v>
      </c>
      <c r="E3" t="s">
        <v>229</v>
      </c>
      <c r="F3" s="8">
        <v>46212</v>
      </c>
      <c r="G3" t="s">
        <v>46</v>
      </c>
      <c r="H3" t="s">
        <v>324</v>
      </c>
    </row>
    <row r="4" spans="1:10" x14ac:dyDescent="0.3">
      <c r="A4" t="s">
        <v>325</v>
      </c>
      <c r="B4" t="s">
        <v>326</v>
      </c>
      <c r="C4" t="s">
        <v>327</v>
      </c>
      <c r="D4" t="s">
        <v>283</v>
      </c>
      <c r="E4" t="s">
        <v>259</v>
      </c>
      <c r="F4" s="8">
        <v>46215</v>
      </c>
      <c r="G4" t="s">
        <v>46</v>
      </c>
      <c r="H4" t="s">
        <v>328</v>
      </c>
    </row>
    <row r="5" spans="1:10" x14ac:dyDescent="0.3">
      <c r="A5" t="s">
        <v>329</v>
      </c>
      <c r="B5" t="s">
        <v>330</v>
      </c>
      <c r="C5" t="s">
        <v>331</v>
      </c>
      <c r="D5" t="s">
        <v>240</v>
      </c>
      <c r="E5" t="s">
        <v>243</v>
      </c>
      <c r="F5" s="8">
        <v>46218</v>
      </c>
      <c r="G5" t="s">
        <v>332</v>
      </c>
      <c r="H5" t="s">
        <v>333</v>
      </c>
    </row>
    <row r="6" spans="1:10" x14ac:dyDescent="0.3">
      <c r="A6" t="s">
        <v>334</v>
      </c>
      <c r="B6" t="s">
        <v>335</v>
      </c>
      <c r="C6" t="s">
        <v>336</v>
      </c>
      <c r="D6" t="s">
        <v>302</v>
      </c>
      <c r="E6" t="s">
        <v>236</v>
      </c>
      <c r="F6" s="8">
        <v>46229</v>
      </c>
      <c r="G6" t="s">
        <v>337</v>
      </c>
      <c r="H6" t="s">
        <v>338</v>
      </c>
    </row>
    <row r="12" spans="1:10" x14ac:dyDescent="0.3">
      <c r="A12" s="2" t="s">
        <v>339</v>
      </c>
    </row>
    <row r="13" spans="1:10" x14ac:dyDescent="0.3">
      <c r="A13" s="3" t="s">
        <v>340</v>
      </c>
      <c r="B13" s="3" t="s">
        <v>341</v>
      </c>
      <c r="C13" s="3" t="s">
        <v>312</v>
      </c>
      <c r="D13" s="3" t="s">
        <v>342</v>
      </c>
    </row>
    <row r="14" spans="1:10" x14ac:dyDescent="0.3">
      <c r="A14" t="s">
        <v>315</v>
      </c>
      <c r="B14" t="s">
        <v>343</v>
      </c>
      <c r="C14" t="s">
        <v>318</v>
      </c>
      <c r="D14" t="s">
        <v>344</v>
      </c>
    </row>
    <row r="15" spans="1:10" x14ac:dyDescent="0.3">
      <c r="A15" t="s">
        <v>345</v>
      </c>
      <c r="B15" t="s">
        <v>346</v>
      </c>
      <c r="C15" t="s">
        <v>347</v>
      </c>
      <c r="D15" t="s">
        <v>348</v>
      </c>
    </row>
    <row r="16" spans="1:10" x14ac:dyDescent="0.3">
      <c r="A16" t="s">
        <v>322</v>
      </c>
      <c r="B16" t="s">
        <v>323</v>
      </c>
      <c r="C16" t="s">
        <v>324</v>
      </c>
      <c r="D16" t="s">
        <v>349</v>
      </c>
    </row>
    <row r="17" spans="1:4" x14ac:dyDescent="0.3">
      <c r="A17" t="s">
        <v>350</v>
      </c>
      <c r="B17" t="s">
        <v>351</v>
      </c>
      <c r="C17" t="s">
        <v>352</v>
      </c>
      <c r="D17" t="s">
        <v>353</v>
      </c>
    </row>
    <row r="18" spans="1:4" x14ac:dyDescent="0.3">
      <c r="A18" t="s">
        <v>354</v>
      </c>
      <c r="B18" t="s">
        <v>355</v>
      </c>
      <c r="C18" t="s">
        <v>356</v>
      </c>
      <c r="D18" t="s">
        <v>357</v>
      </c>
    </row>
    <row r="19" spans="1:4" x14ac:dyDescent="0.3">
      <c r="A19" t="s">
        <v>358</v>
      </c>
      <c r="B19" t="s">
        <v>359</v>
      </c>
      <c r="C19" t="s">
        <v>360</v>
      </c>
      <c r="D19" t="s">
        <v>361</v>
      </c>
    </row>
    <row r="20" spans="1:4" x14ac:dyDescent="0.3">
      <c r="A20" t="s">
        <v>335</v>
      </c>
      <c r="B20" t="s">
        <v>336</v>
      </c>
      <c r="C20" t="s">
        <v>338</v>
      </c>
      <c r="D20" t="s">
        <v>362</v>
      </c>
    </row>
    <row r="21" spans="1:4" x14ac:dyDescent="0.3">
      <c r="A21" t="s">
        <v>363</v>
      </c>
      <c r="B21" t="s">
        <v>364</v>
      </c>
      <c r="C21" t="s">
        <v>365</v>
      </c>
      <c r="D21" t="s">
        <v>366</v>
      </c>
    </row>
    <row r="22" spans="1:4" x14ac:dyDescent="0.3">
      <c r="A22" t="s">
        <v>367</v>
      </c>
      <c r="B22" t="s">
        <v>368</v>
      </c>
      <c r="C22" t="s">
        <v>369</v>
      </c>
      <c r="D22" t="s">
        <v>370</v>
      </c>
    </row>
    <row r="23" spans="1:4" x14ac:dyDescent="0.3">
      <c r="A23" t="s">
        <v>326</v>
      </c>
      <c r="B23" t="s">
        <v>327</v>
      </c>
      <c r="C23" t="s">
        <v>328</v>
      </c>
      <c r="D23" t="s">
        <v>18</v>
      </c>
    </row>
    <row r="24" spans="1:4" x14ac:dyDescent="0.3">
      <c r="A24" t="s">
        <v>371</v>
      </c>
      <c r="B24" t="s">
        <v>372</v>
      </c>
      <c r="C24" t="s">
        <v>373</v>
      </c>
      <c r="D24" t="s">
        <v>374</v>
      </c>
    </row>
    <row r="25" spans="1:4" x14ac:dyDescent="0.3">
      <c r="A25" t="s">
        <v>375</v>
      </c>
      <c r="B25" t="s">
        <v>376</v>
      </c>
      <c r="C25" t="s">
        <v>377</v>
      </c>
      <c r="D25" t="s">
        <v>378</v>
      </c>
    </row>
    <row r="26" spans="1:4" x14ac:dyDescent="0.3">
      <c r="A26" t="s">
        <v>379</v>
      </c>
      <c r="B26" t="s">
        <v>380</v>
      </c>
      <c r="C26" t="s">
        <v>381</v>
      </c>
      <c r="D26" t="s">
        <v>382</v>
      </c>
    </row>
    <row r="27" spans="1:4" x14ac:dyDescent="0.3">
      <c r="A27" t="s">
        <v>383</v>
      </c>
      <c r="B27" t="s">
        <v>384</v>
      </c>
      <c r="C27" t="s">
        <v>385</v>
      </c>
      <c r="D27" t="s">
        <v>386</v>
      </c>
    </row>
    <row r="28" spans="1:4" x14ac:dyDescent="0.3">
      <c r="A28" t="s">
        <v>330</v>
      </c>
      <c r="B28" t="s">
        <v>331</v>
      </c>
      <c r="C28" t="s">
        <v>333</v>
      </c>
      <c r="D28" t="s">
        <v>387</v>
      </c>
    </row>
    <row r="29" spans="1:4" x14ac:dyDescent="0.3">
      <c r="A29" t="s">
        <v>388</v>
      </c>
      <c r="B29" t="s">
        <v>389</v>
      </c>
      <c r="C29" t="s">
        <v>390</v>
      </c>
      <c r="D29" t="s">
        <v>391</v>
      </c>
    </row>
    <row r="30" spans="1:4" x14ac:dyDescent="0.3">
      <c r="A30" t="s">
        <v>392</v>
      </c>
      <c r="B30" t="s">
        <v>393</v>
      </c>
      <c r="C30" t="s">
        <v>394</v>
      </c>
      <c r="D30" t="s">
        <v>395</v>
      </c>
    </row>
    <row r="31" spans="1:4" x14ac:dyDescent="0.3">
      <c r="A31" t="s">
        <v>396</v>
      </c>
      <c r="B31" t="s">
        <v>397</v>
      </c>
      <c r="C31" t="s">
        <v>398</v>
      </c>
      <c r="D31" t="s">
        <v>399</v>
      </c>
    </row>
    <row r="32" spans="1:4" x14ac:dyDescent="0.3">
      <c r="A32" t="s">
        <v>400</v>
      </c>
      <c r="B32" t="s">
        <v>401</v>
      </c>
      <c r="C32" t="s">
        <v>402</v>
      </c>
      <c r="D32" t="s">
        <v>403</v>
      </c>
    </row>
    <row r="33" spans="1:4" x14ac:dyDescent="0.3">
      <c r="A33" t="s">
        <v>404</v>
      </c>
      <c r="B33" t="s">
        <v>405</v>
      </c>
      <c r="C33" t="s">
        <v>406</v>
      </c>
      <c r="D33" t="s">
        <v>407</v>
      </c>
    </row>
    <row r="34" spans="1:4" x14ac:dyDescent="0.3">
      <c r="A34" t="s">
        <v>408</v>
      </c>
      <c r="B34" t="s">
        <v>409</v>
      </c>
      <c r="C34" t="s">
        <v>410</v>
      </c>
      <c r="D34" t="s">
        <v>411</v>
      </c>
    </row>
    <row r="35" spans="1:4" x14ac:dyDescent="0.3">
      <c r="A35" t="s">
        <v>412</v>
      </c>
      <c r="B35" t="s">
        <v>413</v>
      </c>
      <c r="C35" t="s">
        <v>414</v>
      </c>
      <c r="D35" t="s">
        <v>415</v>
      </c>
    </row>
    <row r="36" spans="1:4" x14ac:dyDescent="0.3">
      <c r="A36" t="s">
        <v>129</v>
      </c>
      <c r="B36" t="s">
        <v>416</v>
      </c>
      <c r="C36" t="s">
        <v>417</v>
      </c>
      <c r="D36" t="s">
        <v>418</v>
      </c>
    </row>
    <row r="37" spans="1:4" x14ac:dyDescent="0.3">
      <c r="A37" t="s">
        <v>419</v>
      </c>
      <c r="B37" t="s">
        <v>420</v>
      </c>
      <c r="C37" t="s">
        <v>421</v>
      </c>
      <c r="D37" t="s">
        <v>422</v>
      </c>
    </row>
    <row r="38" spans="1:4" x14ac:dyDescent="0.3">
      <c r="A38" t="s">
        <v>423</v>
      </c>
      <c r="B38" t="s">
        <v>424</v>
      </c>
      <c r="C38" t="s">
        <v>425</v>
      </c>
      <c r="D38" t="s">
        <v>426</v>
      </c>
    </row>
    <row r="39" spans="1:4" x14ac:dyDescent="0.3">
      <c r="A39" t="s">
        <v>427</v>
      </c>
      <c r="B39" t="s">
        <v>428</v>
      </c>
      <c r="C39" t="s">
        <v>429</v>
      </c>
      <c r="D39" t="s">
        <v>426</v>
      </c>
    </row>
    <row r="40" spans="1:4" x14ac:dyDescent="0.3">
      <c r="A40" t="s">
        <v>430</v>
      </c>
      <c r="B40" t="s">
        <v>431</v>
      </c>
      <c r="C40" t="s">
        <v>432</v>
      </c>
      <c r="D40" t="s">
        <v>433</v>
      </c>
    </row>
    <row r="41" spans="1:4" x14ac:dyDescent="0.3">
      <c r="A41" t="s">
        <v>434</v>
      </c>
      <c r="B41" t="s">
        <v>435</v>
      </c>
      <c r="C41" t="s">
        <v>436</v>
      </c>
      <c r="D41" t="s">
        <v>437</v>
      </c>
    </row>
    <row r="42" spans="1:4" x14ac:dyDescent="0.3">
      <c r="A42" t="s">
        <v>438</v>
      </c>
      <c r="B42" t="s">
        <v>439</v>
      </c>
      <c r="C42" t="s">
        <v>440</v>
      </c>
      <c r="D42" t="s">
        <v>441</v>
      </c>
    </row>
    <row r="43" spans="1:4" x14ac:dyDescent="0.3">
      <c r="A43" t="s">
        <v>442</v>
      </c>
      <c r="B43" t="s">
        <v>443</v>
      </c>
      <c r="C43" t="s">
        <v>444</v>
      </c>
      <c r="D43" t="s">
        <v>445</v>
      </c>
    </row>
    <row r="44" spans="1:4" x14ac:dyDescent="0.3">
      <c r="A44" t="s">
        <v>446</v>
      </c>
      <c r="B44" t="s">
        <v>447</v>
      </c>
      <c r="C44" t="s">
        <v>448</v>
      </c>
      <c r="D44" t="s">
        <v>449</v>
      </c>
    </row>
    <row r="45" spans="1:4" x14ac:dyDescent="0.3">
      <c r="A45" t="s">
        <v>450</v>
      </c>
      <c r="B45" t="s">
        <v>451</v>
      </c>
      <c r="C45" t="s">
        <v>452</v>
      </c>
      <c r="D45" t="s">
        <v>453</v>
      </c>
    </row>
    <row r="46" spans="1:4" x14ac:dyDescent="0.3">
      <c r="A46" t="s">
        <v>454</v>
      </c>
      <c r="B46" t="s">
        <v>455</v>
      </c>
      <c r="C46" t="s">
        <v>456</v>
      </c>
      <c r="D46" t="s">
        <v>457</v>
      </c>
    </row>
    <row r="47" spans="1:4" x14ac:dyDescent="0.3">
      <c r="A47" t="s">
        <v>458</v>
      </c>
      <c r="B47" t="s">
        <v>459</v>
      </c>
      <c r="C47" t="s">
        <v>460</v>
      </c>
      <c r="D47" t="s">
        <v>461</v>
      </c>
    </row>
    <row r="48" spans="1:4" x14ac:dyDescent="0.3">
      <c r="A48" t="s">
        <v>462</v>
      </c>
      <c r="B48" t="s">
        <v>463</v>
      </c>
      <c r="C48" t="s">
        <v>464</v>
      </c>
      <c r="D48" t="s">
        <v>465</v>
      </c>
    </row>
    <row r="49" spans="1:4" x14ac:dyDescent="0.3">
      <c r="A49" t="s">
        <v>466</v>
      </c>
      <c r="B49" t="s">
        <v>467</v>
      </c>
      <c r="C49" t="s">
        <v>468</v>
      </c>
      <c r="D49" t="s">
        <v>469</v>
      </c>
    </row>
    <row r="50" spans="1:4" x14ac:dyDescent="0.3">
      <c r="A50" t="s">
        <v>470</v>
      </c>
      <c r="B50" t="s">
        <v>471</v>
      </c>
      <c r="C50" t="s">
        <v>472</v>
      </c>
      <c r="D50" t="s">
        <v>473</v>
      </c>
    </row>
    <row r="51" spans="1:4" x14ac:dyDescent="0.3">
      <c r="A51" t="s">
        <v>474</v>
      </c>
      <c r="B51" t="s">
        <v>475</v>
      </c>
      <c r="C51" t="s">
        <v>476</v>
      </c>
      <c r="D51" t="s">
        <v>477</v>
      </c>
    </row>
    <row r="52" spans="1:4" x14ac:dyDescent="0.3">
      <c r="A52" t="s">
        <v>478</v>
      </c>
      <c r="B52" t="s">
        <v>479</v>
      </c>
      <c r="C52" t="s">
        <v>480</v>
      </c>
      <c r="D52" t="s">
        <v>481</v>
      </c>
    </row>
    <row r="53" spans="1:4" x14ac:dyDescent="0.3">
      <c r="A53" t="s">
        <v>482</v>
      </c>
      <c r="B53" t="s">
        <v>483</v>
      </c>
      <c r="C53" t="s">
        <v>484</v>
      </c>
      <c r="D53" t="s">
        <v>485</v>
      </c>
    </row>
    <row r="54" spans="1:4" x14ac:dyDescent="0.3">
      <c r="A54" t="s">
        <v>486</v>
      </c>
      <c r="B54" t="s">
        <v>487</v>
      </c>
      <c r="C54" t="s">
        <v>488</v>
      </c>
      <c r="D54" t="s">
        <v>489</v>
      </c>
    </row>
    <row r="55" spans="1:4" x14ac:dyDescent="0.3">
      <c r="A55" t="s">
        <v>490</v>
      </c>
      <c r="B55" t="s">
        <v>491</v>
      </c>
      <c r="C55" t="s">
        <v>492</v>
      </c>
      <c r="D55" t="s">
        <v>493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348B-D352-4860-A216-01E101BBF0FB}">
  <dimension ref="A1:J21"/>
  <sheetViews>
    <sheetView workbookViewId="0"/>
  </sheetViews>
  <sheetFormatPr defaultRowHeight="14.4" x14ac:dyDescent="0.3"/>
  <cols>
    <col min="1" max="2" width="15.6640625" bestFit="1" customWidth="1"/>
    <col min="3" max="3" width="23.44140625" bestFit="1" customWidth="1"/>
    <col min="4" max="4" width="27.109375" bestFit="1" customWidth="1"/>
    <col min="5" max="5" width="17.5546875" bestFit="1" customWidth="1"/>
    <col min="6" max="6" width="32.44140625" bestFit="1" customWidth="1"/>
    <col min="7" max="7" width="17.5546875" bestFit="1" customWidth="1"/>
    <col min="8" max="8" width="11.88671875" bestFit="1" customWidth="1"/>
    <col min="9" max="9" width="10.77734375" bestFit="1" customWidth="1"/>
    <col min="10" max="10" width="10.88671875" bestFit="1" customWidth="1"/>
  </cols>
  <sheetData>
    <row r="1" spans="1:10" x14ac:dyDescent="0.3">
      <c r="A1" s="3" t="s">
        <v>494</v>
      </c>
      <c r="B1" s="3" t="s">
        <v>495</v>
      </c>
      <c r="C1" s="3" t="s">
        <v>291</v>
      </c>
      <c r="D1" s="3" t="s">
        <v>292</v>
      </c>
      <c r="E1" s="3" t="s">
        <v>496</v>
      </c>
      <c r="F1" s="3" t="s">
        <v>497</v>
      </c>
      <c r="G1" s="3" t="s">
        <v>41</v>
      </c>
      <c r="H1" s="3" t="s">
        <v>498</v>
      </c>
      <c r="I1" s="3" t="s">
        <v>499</v>
      </c>
      <c r="J1" s="3" t="s">
        <v>500</v>
      </c>
    </row>
    <row r="2" spans="1:10" x14ac:dyDescent="0.3">
      <c r="A2" t="s">
        <v>501</v>
      </c>
      <c r="B2" t="s">
        <v>502</v>
      </c>
      <c r="C2" t="s">
        <v>221</v>
      </c>
      <c r="D2" t="s">
        <v>222</v>
      </c>
      <c r="E2" t="s">
        <v>223</v>
      </c>
      <c r="F2" t="s">
        <v>503</v>
      </c>
      <c r="G2" t="s">
        <v>504</v>
      </c>
      <c r="H2" s="8">
        <v>46206</v>
      </c>
      <c r="I2" s="8">
        <v>46206</v>
      </c>
      <c r="J2" s="9" t="str">
        <f>HYPERLINK("mailto:"&amp;E2&amp;"?subject="&amp;F2,"mailto ac")</f>
        <v>mailto ac</v>
      </c>
    </row>
    <row r="3" spans="1:10" x14ac:dyDescent="0.3">
      <c r="A3" t="s">
        <v>505</v>
      </c>
      <c r="B3" t="s">
        <v>506</v>
      </c>
      <c r="C3" t="s">
        <v>228</v>
      </c>
      <c r="D3" t="s">
        <v>229</v>
      </c>
      <c r="E3" t="s">
        <v>230</v>
      </c>
      <c r="F3" t="s">
        <v>507</v>
      </c>
      <c r="G3" t="s">
        <v>504</v>
      </c>
      <c r="H3" s="8">
        <v>46212</v>
      </c>
      <c r="I3" s="8">
        <v>46212</v>
      </c>
      <c r="J3" s="9" t="str">
        <f>HYPERLINK("mailto:"&amp;E3&amp;"?subject="&amp;F3,"mailto ac")</f>
        <v>mailto ac</v>
      </c>
    </row>
    <row r="4" spans="1:10" x14ac:dyDescent="0.3">
      <c r="A4" t="s">
        <v>508</v>
      </c>
      <c r="B4" t="s">
        <v>509</v>
      </c>
      <c r="C4" t="s">
        <v>240</v>
      </c>
      <c r="D4" t="s">
        <v>241</v>
      </c>
      <c r="E4" t="s">
        <v>242</v>
      </c>
      <c r="F4" t="s">
        <v>510</v>
      </c>
      <c r="G4" t="s">
        <v>337</v>
      </c>
      <c r="H4" s="8">
        <v>46223</v>
      </c>
      <c r="J4" s="9" t="str">
        <f>HYPERLINK("mailto:"&amp;E4&amp;"?subject="&amp;F4,"mailto ac")</f>
        <v>mailto ac</v>
      </c>
    </row>
    <row r="5" spans="1:10" x14ac:dyDescent="0.3">
      <c r="A5" t="s">
        <v>511</v>
      </c>
      <c r="B5" t="s">
        <v>512</v>
      </c>
      <c r="D5" t="s">
        <v>513</v>
      </c>
      <c r="E5" t="s">
        <v>514</v>
      </c>
      <c r="F5" t="s">
        <v>515</v>
      </c>
      <c r="G5" t="s">
        <v>516</v>
      </c>
      <c r="H5" s="8">
        <v>46231</v>
      </c>
      <c r="J5" s="9" t="str">
        <f>HYPERLINK("mailto:"&amp;E5&amp;"?subject="&amp;F5,"mailto ac")</f>
        <v>mailto ac</v>
      </c>
    </row>
    <row r="8" spans="1:10" x14ac:dyDescent="0.3">
      <c r="A8" s="2" t="s">
        <v>517</v>
      </c>
      <c r="F8" t="s">
        <v>561</v>
      </c>
      <c r="G8" t="s">
        <v>221</v>
      </c>
    </row>
    <row r="9" spans="1:10" x14ac:dyDescent="0.3">
      <c r="A9" s="3" t="s">
        <v>340</v>
      </c>
      <c r="B9" s="3" t="s">
        <v>341</v>
      </c>
      <c r="C9" s="3" t="s">
        <v>518</v>
      </c>
      <c r="D9" s="3" t="s">
        <v>519</v>
      </c>
      <c r="F9" t="s">
        <v>562</v>
      </c>
      <c r="G9" t="str">
        <f>IFERROR(VLOOKUP(G8,Customers!A:B,2,FALSE),"")</f>
        <v>Reshad Memmedov</v>
      </c>
    </row>
    <row r="10" spans="1:10" x14ac:dyDescent="0.3">
      <c r="A10" t="s">
        <v>502</v>
      </c>
      <c r="B10" t="s">
        <v>520</v>
      </c>
      <c r="C10" t="s">
        <v>521</v>
      </c>
      <c r="D10" t="s">
        <v>522</v>
      </c>
      <c r="F10" t="s">
        <v>563</v>
      </c>
      <c r="G10" t="str">
        <f>IFERROR(VLOOKUP(G8,Customers!A:C,3,FALSE),"")</f>
        <v>reshad@example.az</v>
      </c>
    </row>
    <row r="11" spans="1:10" x14ac:dyDescent="0.3">
      <c r="A11" t="s">
        <v>506</v>
      </c>
      <c r="B11" t="s">
        <v>523</v>
      </c>
      <c r="C11" t="s">
        <v>524</v>
      </c>
      <c r="D11" t="s">
        <v>525</v>
      </c>
    </row>
    <row r="12" spans="1:10" x14ac:dyDescent="0.3">
      <c r="A12" t="s">
        <v>526</v>
      </c>
      <c r="B12" t="s">
        <v>527</v>
      </c>
      <c r="C12" t="s">
        <v>528</v>
      </c>
      <c r="D12" t="s">
        <v>529</v>
      </c>
    </row>
    <row r="13" spans="1:10" x14ac:dyDescent="0.3">
      <c r="A13" t="s">
        <v>509</v>
      </c>
      <c r="B13" t="s">
        <v>530</v>
      </c>
      <c r="C13" t="s">
        <v>531</v>
      </c>
      <c r="D13" t="s">
        <v>532</v>
      </c>
    </row>
    <row r="14" spans="1:10" x14ac:dyDescent="0.3">
      <c r="A14" t="s">
        <v>533</v>
      </c>
      <c r="B14" t="s">
        <v>534</v>
      </c>
      <c r="C14" t="s">
        <v>535</v>
      </c>
      <c r="D14" t="s">
        <v>536</v>
      </c>
    </row>
    <row r="15" spans="1:10" x14ac:dyDescent="0.3">
      <c r="A15" t="s">
        <v>537</v>
      </c>
      <c r="B15" t="s">
        <v>538</v>
      </c>
      <c r="C15" t="s">
        <v>539</v>
      </c>
      <c r="D15" t="s">
        <v>540</v>
      </c>
    </row>
    <row r="16" spans="1:10" x14ac:dyDescent="0.3">
      <c r="A16" t="s">
        <v>541</v>
      </c>
      <c r="B16" t="s">
        <v>542</v>
      </c>
      <c r="C16" t="s">
        <v>543</v>
      </c>
      <c r="D16" t="s">
        <v>544</v>
      </c>
    </row>
    <row r="17" spans="1:4" x14ac:dyDescent="0.3">
      <c r="A17" t="s">
        <v>545</v>
      </c>
      <c r="B17" t="s">
        <v>546</v>
      </c>
      <c r="C17" t="s">
        <v>547</v>
      </c>
      <c r="D17" t="s">
        <v>548</v>
      </c>
    </row>
    <row r="18" spans="1:4" x14ac:dyDescent="0.3">
      <c r="A18" t="s">
        <v>412</v>
      </c>
      <c r="B18" t="s">
        <v>413</v>
      </c>
      <c r="C18" t="s">
        <v>549</v>
      </c>
      <c r="D18" t="s">
        <v>550</v>
      </c>
    </row>
    <row r="19" spans="1:4" x14ac:dyDescent="0.3">
      <c r="A19" t="s">
        <v>551</v>
      </c>
      <c r="B19" t="s">
        <v>552</v>
      </c>
      <c r="C19" t="s">
        <v>553</v>
      </c>
      <c r="D19" t="s">
        <v>554</v>
      </c>
    </row>
    <row r="20" spans="1:4" x14ac:dyDescent="0.3">
      <c r="A20" t="s">
        <v>512</v>
      </c>
      <c r="B20" t="s">
        <v>555</v>
      </c>
      <c r="C20" t="s">
        <v>556</v>
      </c>
      <c r="D20" t="s">
        <v>557</v>
      </c>
    </row>
    <row r="21" spans="1:4" x14ac:dyDescent="0.3">
      <c r="A21" t="s">
        <v>482</v>
      </c>
      <c r="B21" t="s">
        <v>558</v>
      </c>
      <c r="C21" t="s">
        <v>559</v>
      </c>
      <c r="D21" t="s">
        <v>560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F1238A-2982-44E8-9136-BF454C723767}">
          <x14:formula1>
            <xm:f>Customers!$A$2:$A$6</xm:f>
          </x14:formula1>
          <xm:sqref>G8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4C96-898A-4CBE-AAAC-20BF11B52A91}">
  <dimension ref="A1:B24"/>
  <sheetViews>
    <sheetView workbookViewId="0"/>
  </sheetViews>
  <sheetFormatPr defaultRowHeight="14.4" x14ac:dyDescent="0.3"/>
  <cols>
    <col min="1" max="1" width="76.109375" bestFit="1" customWidth="1"/>
    <col min="2" max="2" width="15.33203125" bestFit="1" customWidth="1"/>
  </cols>
  <sheetData>
    <row r="1" spans="1:2" ht="21" x14ac:dyDescent="0.4">
      <c r="A1" s="1" t="s">
        <v>582</v>
      </c>
    </row>
    <row r="3" spans="1:2" x14ac:dyDescent="0.3">
      <c r="A3" s="2" t="s">
        <v>583</v>
      </c>
    </row>
    <row r="4" spans="1:2" x14ac:dyDescent="0.3">
      <c r="A4" t="s">
        <v>584</v>
      </c>
      <c r="B4">
        <f>SUM(Sales!J:J)</f>
        <v>7061</v>
      </c>
    </row>
    <row r="5" spans="1:2" x14ac:dyDescent="0.3">
      <c r="A5" t="s">
        <v>585</v>
      </c>
      <c r="B5">
        <f>COUNTA(Sales!A:A)-1</f>
        <v>6</v>
      </c>
    </row>
    <row r="6" spans="1:2" x14ac:dyDescent="0.3">
      <c r="A6" t="s">
        <v>586</v>
      </c>
      <c r="B6">
        <f>IFERROR(B4/B5,0)</f>
        <v>1176.8333333333333</v>
      </c>
    </row>
    <row r="7" spans="1:2" x14ac:dyDescent="0.3">
      <c r="A7" t="s">
        <v>587</v>
      </c>
      <c r="B7">
        <f>COUNTIF(Sales!L:L,"paid")</f>
        <v>4</v>
      </c>
    </row>
    <row r="9" spans="1:2" x14ac:dyDescent="0.3">
      <c r="A9" s="2" t="s">
        <v>588</v>
      </c>
    </row>
    <row r="10" spans="1:2" x14ac:dyDescent="0.3">
      <c r="A10" t="s">
        <v>589</v>
      </c>
      <c r="B10" s="5">
        <f>SUM(Inventory!F:F)</f>
        <v>185</v>
      </c>
    </row>
    <row r="11" spans="1:2" x14ac:dyDescent="0.3">
      <c r="A11" t="s">
        <v>515</v>
      </c>
      <c r="B11">
        <f>COUNTIF(Inventory!J:J,"MIN STOK")</f>
        <v>2</v>
      </c>
    </row>
    <row r="12" spans="1:2" x14ac:dyDescent="0.3">
      <c r="A12" t="s">
        <v>590</v>
      </c>
      <c r="B12">
        <f>COUNTA(Products!A:A)-1</f>
        <v>16</v>
      </c>
    </row>
    <row r="14" spans="1:2" x14ac:dyDescent="0.3">
      <c r="A14" s="2" t="s">
        <v>591</v>
      </c>
    </row>
    <row r="15" spans="1:2" x14ac:dyDescent="0.3">
      <c r="A15" t="s">
        <v>592</v>
      </c>
      <c r="B15">
        <f>SUM(Purchases!I:I)</f>
        <v>56100</v>
      </c>
    </row>
    <row r="16" spans="1:2" x14ac:dyDescent="0.3">
      <c r="A16" t="s">
        <v>593</v>
      </c>
      <c r="B16">
        <f>COUNTIF(Purchases!J:J,"ordered")+COUNTIF(Purchases!J:J,"partial")</f>
        <v>3</v>
      </c>
    </row>
    <row r="18" spans="1:2" x14ac:dyDescent="0.3">
      <c r="A18" s="2" t="s">
        <v>594</v>
      </c>
    </row>
    <row r="19" spans="1:2" x14ac:dyDescent="0.3">
      <c r="A19" s="3" t="s">
        <v>128</v>
      </c>
      <c r="B19" s="3" t="s">
        <v>595</v>
      </c>
    </row>
    <row r="20" spans="1:2" x14ac:dyDescent="0.3">
      <c r="A20" t="s">
        <v>42</v>
      </c>
      <c r="B20">
        <f>SUMIF(Products!E:E,"electronics",Products!F:F)</f>
        <v>10473</v>
      </c>
    </row>
    <row r="21" spans="1:2" x14ac:dyDescent="0.3">
      <c r="A21" t="s">
        <v>47</v>
      </c>
      <c r="B21">
        <f>SUMIF(Products!E:E,"fashion",Products!F:F)</f>
        <v>738</v>
      </c>
    </row>
    <row r="22" spans="1:2" x14ac:dyDescent="0.3">
      <c r="A22" t="s">
        <v>51</v>
      </c>
      <c r="B22">
        <f>SUMIF(Products!E:E,"home",Products!F:F)</f>
        <v>2796</v>
      </c>
    </row>
    <row r="24" spans="1:2" x14ac:dyDescent="0.3">
      <c r="A24" s="10" t="s">
        <v>596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78BD-F5DC-47C6-B0F1-EBBDCAD0C442}">
  <dimension ref="A1:B25"/>
  <sheetViews>
    <sheetView workbookViewId="0"/>
  </sheetViews>
  <sheetFormatPr defaultRowHeight="14.4" x14ac:dyDescent="0.3"/>
  <cols>
    <col min="1" max="1" width="57.88671875" bestFit="1" customWidth="1"/>
    <col min="2" max="2" width="15.44140625" bestFit="1" customWidth="1"/>
  </cols>
  <sheetData>
    <row r="1" spans="1:2" ht="21" x14ac:dyDescent="0.4">
      <c r="A1" s="1" t="s">
        <v>0</v>
      </c>
    </row>
    <row r="3" spans="1:2" x14ac:dyDescent="0.3">
      <c r="A3" s="3" t="s">
        <v>1</v>
      </c>
      <c r="B3" s="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6</v>
      </c>
    </row>
    <row r="7" spans="1:2" x14ac:dyDescent="0.3">
      <c r="A7" t="s">
        <v>8</v>
      </c>
      <c r="B7">
        <v>18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s="4">
        <v>46236.21597222222</v>
      </c>
    </row>
    <row r="18" spans="1:2" x14ac:dyDescent="0.3">
      <c r="A18" t="s">
        <v>28</v>
      </c>
      <c r="B18" t="s">
        <v>29</v>
      </c>
    </row>
    <row r="19" spans="1:2" x14ac:dyDescent="0.3">
      <c r="A19" t="s">
        <v>30</v>
      </c>
      <c r="B19" t="s">
        <v>31</v>
      </c>
    </row>
    <row r="22" spans="1:2" x14ac:dyDescent="0.3">
      <c r="A22" s="2" t="s">
        <v>32</v>
      </c>
    </row>
    <row r="23" spans="1:2" x14ac:dyDescent="0.3">
      <c r="A23" t="s">
        <v>33</v>
      </c>
    </row>
    <row r="24" spans="1:2" x14ac:dyDescent="0.3">
      <c r="A24" t="s">
        <v>34</v>
      </c>
    </row>
    <row r="25" spans="1:2" x14ac:dyDescent="0.3">
      <c r="A25" t="s">
        <v>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AA11-051B-43DA-AF08-E3C836D7445C}">
  <dimension ref="A1:G4"/>
  <sheetViews>
    <sheetView workbookViewId="0"/>
  </sheetViews>
  <sheetFormatPr defaultRowHeight="14.4" x14ac:dyDescent="0.3"/>
  <cols>
    <col min="1" max="1" width="13.21875" bestFit="1" customWidth="1"/>
    <col min="2" max="2" width="11.21875" bestFit="1" customWidth="1"/>
    <col min="3" max="3" width="14.21875" bestFit="1" customWidth="1"/>
    <col min="4" max="4" width="16.5546875" bestFit="1" customWidth="1"/>
    <col min="5" max="5" width="14.44140625" bestFit="1" customWidth="1"/>
    <col min="6" max="6" width="15.109375" bestFit="1" customWidth="1"/>
    <col min="7" max="7" width="10.6640625" bestFit="1" customWidth="1"/>
  </cols>
  <sheetData>
    <row r="1" spans="1:7" x14ac:dyDescent="0.3">
      <c r="A1" s="3" t="s">
        <v>564</v>
      </c>
      <c r="B1" s="3" t="s">
        <v>565</v>
      </c>
      <c r="C1" s="3" t="s">
        <v>566</v>
      </c>
      <c r="D1" s="3" t="s">
        <v>309</v>
      </c>
      <c r="E1" s="3" t="s">
        <v>567</v>
      </c>
      <c r="F1" s="3" t="s">
        <v>568</v>
      </c>
      <c r="G1" s="3" t="s">
        <v>569</v>
      </c>
    </row>
    <row r="2" spans="1:7" x14ac:dyDescent="0.3">
      <c r="A2" t="s">
        <v>570</v>
      </c>
      <c r="B2" t="s">
        <v>571</v>
      </c>
      <c r="C2" t="s">
        <v>314</v>
      </c>
      <c r="D2" t="s">
        <v>316</v>
      </c>
      <c r="E2" s="8">
        <v>46213</v>
      </c>
      <c r="F2" t="s">
        <v>572</v>
      </c>
      <c r="G2" t="s">
        <v>573</v>
      </c>
    </row>
    <row r="3" spans="1:7" x14ac:dyDescent="0.3">
      <c r="A3" t="s">
        <v>574</v>
      </c>
      <c r="B3" t="s">
        <v>575</v>
      </c>
      <c r="C3" t="s">
        <v>296</v>
      </c>
      <c r="D3" t="s">
        <v>576</v>
      </c>
      <c r="E3" s="8">
        <v>46213</v>
      </c>
      <c r="F3" t="s">
        <v>572</v>
      </c>
      <c r="G3" t="s">
        <v>577</v>
      </c>
    </row>
    <row r="4" spans="1:7" x14ac:dyDescent="0.3">
      <c r="A4" t="s">
        <v>578</v>
      </c>
      <c r="B4" t="s">
        <v>579</v>
      </c>
      <c r="C4" t="s">
        <v>501</v>
      </c>
      <c r="D4" t="s">
        <v>580</v>
      </c>
      <c r="E4" s="8">
        <v>46206</v>
      </c>
      <c r="F4" t="s">
        <v>581</v>
      </c>
      <c r="G4" t="s">
        <v>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Products</vt:lpstr>
      <vt:lpstr>Categories</vt:lpstr>
      <vt:lpstr>Brands</vt:lpstr>
      <vt:lpstr>Inventory</vt:lpstr>
      <vt:lpstr>Purchases</vt:lpstr>
      <vt:lpstr>Sales</vt:lpstr>
      <vt:lpstr>Customers</vt:lpstr>
      <vt:lpstr>Suppliers</vt:lpstr>
      <vt:lpstr>Documents</vt:lpstr>
      <vt:lpstr>Email Center</vt:lpstr>
      <vt:lpstr>Reports</vt:lpstr>
      <vt:lpstr>Settings</vt:lpstr>
      <vt:lpstr>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Huseynov</dc:creator>
  <cp:lastModifiedBy>Sultan Huseynov</cp:lastModifiedBy>
  <dcterms:created xsi:type="dcterms:W3CDTF">2026-08-02T12:11:01Z</dcterms:created>
  <dcterms:modified xsi:type="dcterms:W3CDTF">2026-08-02T12:11:05Z</dcterms:modified>
</cp:coreProperties>
</file>